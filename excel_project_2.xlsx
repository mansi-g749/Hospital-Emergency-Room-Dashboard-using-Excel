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0e3d77abb2247d76/Desktop/Portfolio/data/"/>
    </mc:Choice>
  </mc:AlternateContent>
  <xr:revisionPtr revIDLastSave="0" documentId="8_{A845D6E9-A1D0-42D0-A8DF-8C14859F2942}" xr6:coauthVersionLast="47" xr6:coauthVersionMax="47" xr10:uidLastSave="{00000000-0000-0000-0000-000000000000}"/>
  <bookViews>
    <workbookView xWindow="-108" yWindow="-108" windowWidth="23256" windowHeight="12456" activeTab="1" xr2:uid="{8DB218EC-61DA-4526-B400-719725F4CE41}"/>
  </bookViews>
  <sheets>
    <sheet name="Pivot Report" sheetId="2" r:id="rId1"/>
    <sheet name="Dashboard" sheetId="3" r:id="rId2"/>
    <sheet name="Daily ER no of Patient" sheetId="4" r:id="rId3"/>
    <sheet name="Average wait time daily trend" sheetId="5" r:id="rId4"/>
    <sheet name="Satisfaction score daily trends"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75e740a-b306-4916-a2dd-c7885a87303a" name="Hospital Emergency Room Data" connection="Query - Hospital Emergency Room Data"/>
          <x15:modelTable id="Calendar_Table_c962d2d5-d2ab-4e2f-b499-ad8a79c1139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2" l="1"/>
  <c r="B30" i="2"/>
  <c r="C31" i="2"/>
  <c r="B31" i="2"/>
  <c r="A31" i="2"/>
  <c r="A3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471FF5-7160-4182-90E4-37E5645BA7D7}" name="Query - Calendar_Table" description="Connection to the 'Calendar_Table' query in the workbook." type="100" refreshedVersion="8" minRefreshableVersion="5">
    <extLst>
      <ext xmlns:x15="http://schemas.microsoft.com/office/spreadsheetml/2010/11/main" uri="{DE250136-89BD-433C-8126-D09CA5730AF9}">
        <x15:connection id="b3365707-e11d-4626-9f75-ee8cc6690a58"/>
      </ext>
    </extLst>
  </connection>
  <connection id="2" xr16:uid="{8A33912C-5520-47FC-9B3A-0845B421549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5cdfde1-957a-4c2d-93b2-61da92dd00e6"/>
      </ext>
    </extLst>
  </connection>
  <connection id="3" xr16:uid="{C4F2F5CA-61D8-40AF-B151-7BDC7ECF0D7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<sst xmlns="http://schemas.openxmlformats.org/spreadsheetml/2006/main" count="158" uniqueCount="77">
  <si>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Distinct Count of Patient Id</t>
  </si>
  <si>
    <t>No. of patient</t>
  </si>
  <si>
    <t>Average of Patient Waittime</t>
  </si>
  <si>
    <t>Average of Patient Satisfaction Score</t>
  </si>
  <si>
    <t>Row Labels</t>
  </si>
  <si>
    <t>Grand Total</t>
  </si>
  <si>
    <t>•Show a daily trend with an area sparkline to spot patterns like busy days or seasonal trends.</t>
  </si>
  <si>
    <t>Daily trends of no. of patient</t>
  </si>
  <si>
    <t>Average wait time</t>
  </si>
  <si>
    <t>•Use an area sparkline to track daily changes and highlight days with longer wait times that might need improvements.</t>
  </si>
  <si>
    <t>satisfaction score daily trends</t>
  </si>
  <si>
    <t>•Use an area sparkline to show trends, spot drops in satisfaction, and link them to busy times or challenges.</t>
  </si>
  <si>
    <t>Admitted</t>
  </si>
  <si>
    <t>Not Admitted</t>
  </si>
  <si>
    <t>Count of Patient Admission Flag</t>
  </si>
  <si>
    <t>Count of Patient Admission Flag2</t>
  </si>
  <si>
    <t>Admission Status</t>
  </si>
  <si>
    <t>No. of Patient</t>
  </si>
  <si>
    <t>%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</si>
  <si>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</si>
  <si>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</si>
  <si>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</si>
  <si>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</si>
  <si>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</si>
  <si>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</si>
  <si>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</si>
  <si>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</si>
  <si>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</si>
  <si>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</si>
  <si>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</si>
  <si>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</si>
  <si>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</si>
  <si>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</si>
  <si>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</si>
  <si>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</si>
  <si>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</si>
  <si>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</si>
  <si>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</si>
  <si>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</si>
  <si>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</si>
  <si>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</si>
  <si>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</si>
  <si>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</si>
  <si>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</si>
  <si>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</si>
  <si>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</si>
  <si>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</si>
  <si>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</si>
  <si>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</si>
  <si>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</si>
  <si>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0-9</t>
  </si>
  <si>
    <t>10-19</t>
  </si>
  <si>
    <t>20-29</t>
  </si>
  <si>
    <t>30-39</t>
  </si>
  <si>
    <t>40-49</t>
  </si>
  <si>
    <t>50-59</t>
  </si>
  <si>
    <t>60-69</t>
  </si>
  <si>
    <t>70-79</t>
  </si>
  <si>
    <t>Count of Age Group</t>
  </si>
  <si>
    <t>age group wise anlaysis</t>
  </si>
  <si>
    <t>Delay</t>
  </si>
  <si>
    <t>Ontime</t>
  </si>
  <si>
    <t>Count of Patient attend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</si>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</sst>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1F1F6F"/>
        <bgColor indexed="64"/>
      </patternFill>
    </fill>
    <fill>
      <patternFill patternType="solid">
        <fgColor theme="8" tint="0.59999389629810485"/>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1" fillId="3" borderId="0" xfId="0" applyFont="1" applyFill="1"/>
    <xf numFmtId="0" fontId="0" fillId="3" borderId="0" xfId="0" applyFill="1" applyAlignment="1">
      <alignment horizontal="left" vertical="center" indent="3"/>
    </xf>
    <xf numFmtId="0" fontId="2" fillId="3" borderId="0" xfId="0" applyFont="1" applyFill="1"/>
    <xf numFmtId="0" fontId="2" fillId="3" borderId="0" xfId="0" applyFont="1" applyFill="1" applyAlignment="1">
      <alignment horizontal="left" vertical="center" indent="3"/>
    </xf>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0" borderId="0" xfId="0" applyAlignment="1">
      <alignment horizontal="center"/>
    </xf>
    <xf numFmtId="1" fontId="0" fillId="0" borderId="0" xfId="0" applyNumberFormat="1" applyAlignment="1">
      <alignment horizontal="center"/>
    </xf>
    <xf numFmtId="10" fontId="0" fillId="0" borderId="0" xfId="0" applyNumberFormat="1" applyAlignment="1">
      <alignment horizontal="center"/>
    </xf>
  </cellXfs>
  <cellStyles count="1">
    <cellStyle name="Normal" xfId="0" builtinId="0"/>
  </cellStyles>
  <dxfs count="18">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4" formatCode="0.00%"/>
    </dxf>
    <dxf>
      <numFmt numFmtId="1" formatCode="0"/>
    </dxf>
    <dxf>
      <numFmt numFmtId="2" formatCode="0.00"/>
    </dxf>
    <dxf>
      <numFmt numFmtId="2" formatCode="0.00"/>
    </dxf>
    <dxf>
      <numFmt numFmtId="1" formatCode="0"/>
    </dxf>
    <dxf>
      <numFmt numFmtId="2" formatCode="0.00"/>
    </dxf>
    <dxf>
      <numFmt numFmtId="2" formatCode="0.00"/>
    </dxf>
    <dxf>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B27C9989-E8C5-4FBF-BD69-0AB72C8A1E1C}">
      <tableStyleElement type="wholeTable" dxfId="17"/>
    </tableStyle>
    <tableStyle name="Slicer Style 2" pivot="0" table="0" count="1" xr9:uid="{1A068588-D5F1-4DD2-94D2-AA8979ABCB89}">
      <tableStyleElement type="wholeTable" dxfId="16"/>
    </tableStyle>
  </tableStyles>
  <colors>
    <mruColors>
      <color rgb="FF1F1F6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5A2CAB0A-BA2D-4225-A7B4-3AE73F16AF5A}" type="CELLRANGE">
                  <a:rPr lang="en-US"/>
                  <a:pPr>
                    <a:defRPr sz="6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4DA18773-7D33-4925-8A4D-B37C71A69633}" type="CELLRANGE">
                  <a:rPr lang="en-IN"/>
                  <a:pPr>
                    <a:defRPr sz="6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5709677930544363"/>
          <c:y val="0"/>
          <c:w val="0.5684883056230563"/>
          <c:h val="0.68931321986705185"/>
        </c:manualLayout>
      </c:layout>
      <c:barChart>
        <c:barDir val="bar"/>
        <c:grouping val="clustered"/>
        <c:varyColors val="0"/>
        <c:ser>
          <c:idx val="0"/>
          <c:order val="0"/>
          <c:tx>
            <c:strRef>
              <c:f>'Pivot Report'!$C$23:$C$24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27C6-4F46-B2C0-8AF12C070AF2}"/>
              </c:ext>
            </c:extLst>
          </c:dPt>
          <c:dPt>
            <c:idx val="1"/>
            <c:invertIfNegative val="0"/>
            <c:bubble3D val="0"/>
            <c:extLst>
              <c:ext xmlns:c16="http://schemas.microsoft.com/office/drawing/2014/chart" uri="{C3380CC4-5D6E-409C-BE32-E72D297353CC}">
                <c16:uniqueId val="{00000004-27C6-4F46-B2C0-8AF12C070AF2}"/>
              </c:ext>
            </c:extLst>
          </c:dPt>
          <c:dLbls>
            <c:dLbl>
              <c:idx val="0"/>
              <c:tx>
                <c:rich>
                  <a:bodyPr/>
                  <a:lstStyle/>
                  <a:p>
                    <a:fld id="{5A2CAB0A-BA2D-4225-A7B4-3AE73F16AF5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7C6-4F46-B2C0-8AF12C070AF2}"/>
                </c:ext>
              </c:extLst>
            </c:dLbl>
            <c:dLbl>
              <c:idx val="1"/>
              <c:tx>
                <c:rich>
                  <a:bodyPr/>
                  <a:lstStyle/>
                  <a:p>
                    <a:fld id="{4DA18773-7D33-4925-8A4D-B37C71A6963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7C6-4F46-B2C0-8AF12C070AF2}"/>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Report'!$C$23:$C$24</c:f>
              <c:strCache>
                <c:ptCount val="2"/>
                <c:pt idx="0">
                  <c:v>Admitted</c:v>
                </c:pt>
                <c:pt idx="1">
                  <c:v>Not Admitted</c:v>
                </c:pt>
              </c:strCache>
            </c:strRef>
          </c:cat>
          <c:val>
            <c:numRef>
              <c:f>'Pivot Report'!$C$23:$C$24</c:f>
              <c:numCache>
                <c:formatCode>0</c:formatCode>
                <c:ptCount val="2"/>
                <c:pt idx="0">
                  <c:v>269</c:v>
                </c:pt>
                <c:pt idx="1">
                  <c:v>244</c:v>
                </c:pt>
              </c:numCache>
            </c:numRef>
          </c:val>
          <c:extLst>
            <c:ext xmlns:c15="http://schemas.microsoft.com/office/drawing/2012/chart" uri="{02D57815-91ED-43cb-92C2-25804820EDAC}">
              <c15:datalabelsRange>
                <c15:f>'Pivot Report'!$C$23:$C$24</c15:f>
                <c15:dlblRangeCache>
                  <c:ptCount val="2"/>
                  <c:pt idx="0">
                    <c:v>52.44%</c:v>
                  </c:pt>
                  <c:pt idx="1">
                    <c:v>47.56%</c:v>
                  </c:pt>
                </c15:dlblRangeCache>
              </c15:datalabelsRange>
            </c:ext>
            <c:ext xmlns:c16="http://schemas.microsoft.com/office/drawing/2014/chart" uri="{C3380CC4-5D6E-409C-BE32-E72D297353CC}">
              <c16:uniqueId val="{00000000-27C6-4F46-B2C0-8AF12C070AF2}"/>
            </c:ext>
          </c:extLst>
        </c:ser>
        <c:ser>
          <c:idx val="1"/>
          <c:order val="1"/>
          <c:tx>
            <c:strRef>
              <c:f>'Pivot Report'!$C$23:$C$24</c:f>
              <c:strCache>
                <c:ptCount val="1"/>
                <c:pt idx="0">
                  <c:v>Count of Patient Admission Flag2</c:v>
                </c:pt>
              </c:strCache>
            </c:strRef>
          </c:tx>
          <c:spPr>
            <a:solidFill>
              <a:schemeClr val="accent2"/>
            </a:solidFill>
            <a:ln>
              <a:noFill/>
            </a:ln>
            <a:effectLst/>
          </c:spPr>
          <c:invertIfNegative val="0"/>
          <c:cat>
            <c:strRef>
              <c:f>'Pivot Report'!$C$23:$C$24</c:f>
              <c:strCache>
                <c:ptCount val="2"/>
                <c:pt idx="0">
                  <c:v>Admitted</c:v>
                </c:pt>
                <c:pt idx="1">
                  <c:v>Not Admitted</c:v>
                </c:pt>
              </c:strCache>
            </c:strRef>
          </c:cat>
          <c:val>
            <c:numRef>
              <c:f>'Pivot Report'!$C$23:$C$24</c:f>
              <c:numCache>
                <c:formatCode>0.00%</c:formatCode>
                <c:ptCount val="2"/>
                <c:pt idx="0">
                  <c:v>0.52436647173489281</c:v>
                </c:pt>
                <c:pt idx="1">
                  <c:v>0.47563352826510719</c:v>
                </c:pt>
              </c:numCache>
            </c:numRef>
          </c:val>
          <c:extLst>
            <c:ext xmlns:c16="http://schemas.microsoft.com/office/drawing/2014/chart" uri="{C3380CC4-5D6E-409C-BE32-E72D297353CC}">
              <c16:uniqueId val="{00000001-27C6-4F46-B2C0-8AF12C070AF2}"/>
            </c:ext>
          </c:extLst>
        </c:ser>
        <c:dLbls>
          <c:showLegendKey val="0"/>
          <c:showVal val="0"/>
          <c:showCatName val="0"/>
          <c:showSerName val="0"/>
          <c:showPercent val="0"/>
          <c:showBubbleSize val="0"/>
        </c:dLbls>
        <c:gapWidth val="182"/>
        <c:axId val="371923439"/>
        <c:axId val="371935439"/>
      </c:barChart>
      <c:catAx>
        <c:axId val="371923439"/>
        <c:scaling>
          <c:orientation val="minMax"/>
        </c:scaling>
        <c:delete val="1"/>
        <c:axPos val="l"/>
        <c:numFmt formatCode="General" sourceLinked="1"/>
        <c:majorTickMark val="none"/>
        <c:minorTickMark val="none"/>
        <c:tickLblPos val="nextTo"/>
        <c:crossAx val="371935439"/>
        <c:crosses val="autoZero"/>
        <c:auto val="1"/>
        <c:lblAlgn val="ctr"/>
        <c:lblOffset val="100"/>
        <c:noMultiLvlLbl val="0"/>
      </c:catAx>
      <c:valAx>
        <c:axId val="371935439"/>
        <c:scaling>
          <c:orientation val="minMax"/>
        </c:scaling>
        <c:delete val="1"/>
        <c:axPos val="b"/>
        <c:numFmt formatCode="0" sourceLinked="1"/>
        <c:majorTickMark val="none"/>
        <c:minorTickMark val="none"/>
        <c:tickLblPos val="nextTo"/>
        <c:crossAx val="37192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47224652474001E-2"/>
          <c:y val="0.29934100979313072"/>
          <c:w val="0.97085277534752601"/>
          <c:h val="0.66492394095899299"/>
        </c:manualLayout>
      </c:layout>
      <c:areaChart>
        <c:grouping val="standard"/>
        <c:varyColors val="0"/>
        <c:ser>
          <c:idx val="0"/>
          <c:order val="0"/>
          <c:tx>
            <c:strRef>
              <c:f>'Pivot Report'!$K$5</c:f>
              <c:strCache>
                <c:ptCount val="1"/>
                <c:pt idx="0">
                  <c:v>Total</c:v>
                </c:pt>
              </c:strCache>
            </c:strRef>
          </c:tx>
          <c:spPr>
            <a:solidFill>
              <a:schemeClr val="accent1"/>
            </a:solidFill>
            <a:ln>
              <a:noFill/>
            </a:ln>
            <a:effectLst/>
          </c:spPr>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573-45BF-9753-661290FCCEB1}"/>
            </c:ext>
          </c:extLst>
        </c:ser>
        <c:dLbls>
          <c:showLegendKey val="0"/>
          <c:showVal val="0"/>
          <c:showCatName val="0"/>
          <c:showSerName val="0"/>
          <c:showPercent val="0"/>
          <c:showBubbleSize val="0"/>
        </c:dLbls>
        <c:axId val="1971728320"/>
        <c:axId val="1971734560"/>
      </c:areaChart>
      <c:catAx>
        <c:axId val="1971728320"/>
        <c:scaling>
          <c:orientation val="minMax"/>
        </c:scaling>
        <c:delete val="1"/>
        <c:axPos val="b"/>
        <c:numFmt formatCode="General" sourceLinked="1"/>
        <c:majorTickMark val="out"/>
        <c:minorTickMark val="none"/>
        <c:tickLblPos val="nextTo"/>
        <c:crossAx val="1971734560"/>
        <c:crosses val="autoZero"/>
        <c:auto val="1"/>
        <c:lblAlgn val="ctr"/>
        <c:lblOffset val="100"/>
        <c:noMultiLvlLbl val="0"/>
      </c:catAx>
      <c:valAx>
        <c:axId val="1971734560"/>
        <c:scaling>
          <c:orientation val="minMax"/>
        </c:scaling>
        <c:delete val="1"/>
        <c:axPos val="l"/>
        <c:numFmt formatCode="General" sourceLinked="1"/>
        <c:majorTickMark val="none"/>
        <c:minorTickMark val="none"/>
        <c:tickLblPos val="nextTo"/>
        <c:crossAx val="1971728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1162234238792"/>
          <c:y val="0.44633381054640897"/>
          <c:w val="0.86861471861471862"/>
          <c:h val="0.50834443771451643"/>
        </c:manualLayout>
      </c:layout>
      <c:areaChart>
        <c:grouping val="standard"/>
        <c:varyColors val="0"/>
        <c:ser>
          <c:idx val="0"/>
          <c:order val="0"/>
          <c:tx>
            <c:strRef>
              <c:f>'Pivot Report'!$S$2</c:f>
              <c:strCache>
                <c:ptCount val="1"/>
                <c:pt idx="0">
                  <c:v>Total</c:v>
                </c:pt>
              </c:strCache>
            </c:strRef>
          </c:tx>
          <c:spPr>
            <a:solidFill>
              <a:schemeClr val="accent1"/>
            </a:solidFill>
            <a:ln>
              <a:noFill/>
            </a:ln>
            <a:effectLst/>
          </c:spPr>
          <c:cat>
            <c:strRef>
              <c:f>'Pivot Report'!$R$3:$R$34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Report'!$S$3:$S$34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BEA1-43BD-84A7-4ED11C6B87F4}"/>
            </c:ext>
          </c:extLst>
        </c:ser>
        <c:dLbls>
          <c:showLegendKey val="0"/>
          <c:showVal val="0"/>
          <c:showCatName val="0"/>
          <c:showSerName val="0"/>
          <c:showPercent val="0"/>
          <c:showBubbleSize val="0"/>
        </c:dLbls>
        <c:axId val="1946133760"/>
        <c:axId val="1946131360"/>
      </c:areaChart>
      <c:catAx>
        <c:axId val="1946133760"/>
        <c:scaling>
          <c:orientation val="minMax"/>
        </c:scaling>
        <c:delete val="1"/>
        <c:axPos val="b"/>
        <c:numFmt formatCode="General" sourceLinked="1"/>
        <c:majorTickMark val="out"/>
        <c:minorTickMark val="none"/>
        <c:tickLblPos val="nextTo"/>
        <c:crossAx val="1946131360"/>
        <c:crosses val="autoZero"/>
        <c:auto val="1"/>
        <c:lblAlgn val="ctr"/>
        <c:lblOffset val="100"/>
        <c:noMultiLvlLbl val="0"/>
      </c:catAx>
      <c:valAx>
        <c:axId val="1946131360"/>
        <c:scaling>
          <c:orientation val="minMax"/>
        </c:scaling>
        <c:delete val="1"/>
        <c:axPos val="l"/>
        <c:numFmt formatCode="0.00" sourceLinked="1"/>
        <c:majorTickMark val="none"/>
        <c:minorTickMark val="none"/>
        <c:tickLblPos val="nextTo"/>
        <c:crossAx val="19461337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02563391029863E-2"/>
          <c:y val="0.24405337886980999"/>
          <c:w val="0.89247311827956988"/>
          <c:h val="0.60256410256410253"/>
        </c:manualLayout>
      </c:layout>
      <c:areaChart>
        <c:grouping val="standard"/>
        <c:varyColors val="0"/>
        <c:ser>
          <c:idx val="0"/>
          <c:order val="0"/>
          <c:tx>
            <c:strRef>
              <c:f>'Pivot Report'!$Z$1</c:f>
              <c:strCache>
                <c:ptCount val="1"/>
                <c:pt idx="0">
                  <c:v>Total</c:v>
                </c:pt>
              </c:strCache>
            </c:strRef>
          </c:tx>
          <c:spPr>
            <a:solidFill>
              <a:schemeClr val="accent1"/>
            </a:solidFill>
            <a:ln>
              <a:noFill/>
            </a:ln>
            <a:effectLst/>
          </c:spPr>
          <c:cat>
            <c:strRef>
              <c:f>'Pivot Report'!$Y$2:$Y$33</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Report'!$Z$2:$Z$33</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4CE8-4C45-9E60-29B9D8920131}"/>
            </c:ext>
          </c:extLst>
        </c:ser>
        <c:dLbls>
          <c:showLegendKey val="0"/>
          <c:showVal val="0"/>
          <c:showCatName val="0"/>
          <c:showSerName val="0"/>
          <c:showPercent val="0"/>
          <c:showBubbleSize val="0"/>
        </c:dLbls>
        <c:axId val="269293455"/>
        <c:axId val="269307375"/>
      </c:areaChart>
      <c:catAx>
        <c:axId val="269293455"/>
        <c:scaling>
          <c:orientation val="minMax"/>
        </c:scaling>
        <c:delete val="1"/>
        <c:axPos val="b"/>
        <c:numFmt formatCode="General" sourceLinked="1"/>
        <c:majorTickMark val="out"/>
        <c:minorTickMark val="none"/>
        <c:tickLblPos val="nextTo"/>
        <c:crossAx val="269307375"/>
        <c:crosses val="autoZero"/>
        <c:auto val="1"/>
        <c:lblAlgn val="ctr"/>
        <c:lblOffset val="100"/>
        <c:noMultiLvlLbl val="0"/>
      </c:catAx>
      <c:valAx>
        <c:axId val="269307375"/>
        <c:scaling>
          <c:orientation val="minMax"/>
        </c:scaling>
        <c:delete val="1"/>
        <c:axPos val="l"/>
        <c:numFmt formatCode="0.00" sourceLinked="1"/>
        <c:majorTickMark val="none"/>
        <c:minorTickMark val="none"/>
        <c:tickLblPos val="nextTo"/>
        <c:crossAx val="269293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Report'!$A$38:$A$46</c:f>
              <c:strCache>
                <c:ptCount val="8"/>
                <c:pt idx="0">
                  <c:v>0-9</c:v>
                </c:pt>
                <c:pt idx="1">
                  <c:v>10-19</c:v>
                </c:pt>
                <c:pt idx="2">
                  <c:v>20-29</c:v>
                </c:pt>
                <c:pt idx="3">
                  <c:v>30-39</c:v>
                </c:pt>
                <c:pt idx="4">
                  <c:v>40-49</c:v>
                </c:pt>
                <c:pt idx="5">
                  <c:v>50-59</c:v>
                </c:pt>
                <c:pt idx="6">
                  <c:v>60-69</c:v>
                </c:pt>
                <c:pt idx="7">
                  <c:v>70-79</c:v>
                </c:pt>
              </c:strCache>
            </c:strRef>
          </c:cat>
          <c:val>
            <c:numRef>
              <c:f>'Pivot Report'!$B$38:$B$46</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C861-4129-9794-1E65C6D35193}"/>
            </c:ext>
          </c:extLst>
        </c:ser>
        <c:dLbls>
          <c:showLegendKey val="0"/>
          <c:showVal val="0"/>
          <c:showCatName val="0"/>
          <c:showSerName val="0"/>
          <c:showPercent val="0"/>
          <c:showBubbleSize val="0"/>
        </c:dLbls>
        <c:gapWidth val="100"/>
        <c:overlap val="-24"/>
        <c:axId val="1407136143"/>
        <c:axId val="1407139503"/>
      </c:barChart>
      <c:catAx>
        <c:axId val="140713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139503"/>
        <c:crosses val="autoZero"/>
        <c:auto val="1"/>
        <c:lblAlgn val="ctr"/>
        <c:lblOffset val="100"/>
        <c:noMultiLvlLbl val="0"/>
      </c:catAx>
      <c:valAx>
        <c:axId val="1407139503"/>
        <c:scaling>
          <c:orientation val="minMax"/>
        </c:scaling>
        <c:delete val="1"/>
        <c:axPos val="l"/>
        <c:numFmt formatCode="0" sourceLinked="1"/>
        <c:majorTickMark val="none"/>
        <c:minorTickMark val="none"/>
        <c:tickLblPos val="nextTo"/>
        <c:crossAx val="140713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Report!PivotTable9</c:name>
    <c:fmtId val="10"/>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037970253718285"/>
          <c:y val="0.14390201224846894"/>
          <c:w val="0.66584085525894632"/>
          <c:h val="0.68248687664041996"/>
        </c:manualLayout>
      </c:layout>
      <c:pieChart>
        <c:varyColors val="1"/>
        <c:ser>
          <c:idx val="0"/>
          <c:order val="0"/>
          <c:tx>
            <c:strRef>
              <c:f>'Pivot Report'!$B$74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CA-456F-8525-5B9B8ADB8D1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CA-456F-8525-5B9B8ADB8D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Report'!$A$75:$A$77</c:f>
              <c:strCache>
                <c:ptCount val="2"/>
                <c:pt idx="0">
                  <c:v>Delay</c:v>
                </c:pt>
                <c:pt idx="1">
                  <c:v>Ontime</c:v>
                </c:pt>
              </c:strCache>
            </c:strRef>
          </c:cat>
          <c:val>
            <c:numRef>
              <c:f>'Pivot Report'!$B$75:$B$77</c:f>
              <c:numCache>
                <c:formatCode>0</c:formatCode>
                <c:ptCount val="2"/>
                <c:pt idx="0">
                  <c:v>316</c:v>
                </c:pt>
                <c:pt idx="1">
                  <c:v>197</c:v>
                </c:pt>
              </c:numCache>
            </c:numRef>
          </c:val>
          <c:extLst>
            <c:ext xmlns:c16="http://schemas.microsoft.com/office/drawing/2014/chart" uri="{C3380CC4-5D6E-409C-BE32-E72D297353CC}">
              <c16:uniqueId val="{00000004-FACA-456F-8525-5B9B8ADB8D1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8.3405756853007496E-2"/>
          <c:y val="3.7615193934091601E-2"/>
          <c:w val="0.85456104812624567"/>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544512408052002"/>
          <c:y val="0.21013135624402091"/>
          <c:w val="0.53783132258682265"/>
          <c:h val="0.58558270169499849"/>
        </c:manualLayout>
      </c:layout>
      <c:doughnutChart>
        <c:varyColors val="1"/>
        <c:ser>
          <c:idx val="0"/>
          <c:order val="0"/>
          <c:tx>
            <c:strRef>
              <c:f>'Pivot Report'!$B$81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BC-4469-96E1-D56ED7F8CD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BC-4469-96E1-D56ED7F8CD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Report'!$A$82:$A$84</c:f>
              <c:strCache>
                <c:ptCount val="2"/>
                <c:pt idx="0">
                  <c:v>Female</c:v>
                </c:pt>
                <c:pt idx="1">
                  <c:v>Male</c:v>
                </c:pt>
              </c:strCache>
            </c:strRef>
          </c:cat>
          <c:val>
            <c:numRef>
              <c:f>'Pivot Report'!$B$82:$B$84</c:f>
              <c:numCache>
                <c:formatCode>0</c:formatCode>
                <c:ptCount val="2"/>
                <c:pt idx="0">
                  <c:v>241</c:v>
                </c:pt>
                <c:pt idx="1">
                  <c:v>272</c:v>
                </c:pt>
              </c:numCache>
            </c:numRef>
          </c:val>
          <c:extLst>
            <c:ext xmlns:c16="http://schemas.microsoft.com/office/drawing/2014/chart" uri="{C3380CC4-5D6E-409C-BE32-E72D297353CC}">
              <c16:uniqueId val="{00000004-25BC-4469-96E1-D56ED7F8CD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0689624097417004"/>
          <c:y val="3.9772331405725052E-3"/>
          <c:w val="0.7872883647054848"/>
          <c:h val="0.175268373466533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Report!PivotTable11</c:name>
    <c:fmtId val="2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75901409117447"/>
          <c:y val="6.1728395061728392E-2"/>
          <c:w val="0.67612074542786371"/>
          <c:h val="0.80920314253647585"/>
        </c:manualLayout>
      </c:layout>
      <c:barChart>
        <c:barDir val="bar"/>
        <c:grouping val="clustered"/>
        <c:varyColors val="0"/>
        <c:ser>
          <c:idx val="0"/>
          <c:order val="0"/>
          <c:tx>
            <c:strRef>
              <c:f>'Pivot Report'!$B$91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Report'!$A$92:$A$100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Report'!$B$92:$B$100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2DEC-42DD-B4EE-A8B42325E503}"/>
            </c:ext>
          </c:extLst>
        </c:ser>
        <c:dLbls>
          <c:showLegendKey val="0"/>
          <c:showVal val="0"/>
          <c:showCatName val="0"/>
          <c:showSerName val="0"/>
          <c:showPercent val="0"/>
          <c:showBubbleSize val="0"/>
        </c:dLbls>
        <c:gapWidth val="115"/>
        <c:overlap val="-20"/>
        <c:axId val="1534969871"/>
        <c:axId val="1534970351"/>
      </c:barChart>
      <c:catAx>
        <c:axId val="1534969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970351"/>
        <c:crosses val="autoZero"/>
        <c:auto val="1"/>
        <c:lblAlgn val="ctr"/>
        <c:lblOffset val="100"/>
        <c:noMultiLvlLbl val="0"/>
      </c:catAx>
      <c:valAx>
        <c:axId val="1534970351"/>
        <c:scaling>
          <c:orientation val="minMax"/>
        </c:scaling>
        <c:delete val="1"/>
        <c:axPos val="b"/>
        <c:numFmt formatCode="0" sourceLinked="1"/>
        <c:majorTickMark val="none"/>
        <c:minorTickMark val="none"/>
        <c:tickLblPos val="nextTo"/>
        <c:crossAx val="153496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5A41-4576-9875-7C96503E4BD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71728320"/>
        <c:axId val="1971734560"/>
      </c:areaChart>
      <c:catAx>
        <c:axId val="19717283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1734560"/>
        <c:crosses val="autoZero"/>
        <c:auto val="1"/>
        <c:lblAlgn val="ctr"/>
        <c:lblOffset val="100"/>
        <c:noMultiLvlLbl val="0"/>
      </c:catAx>
      <c:valAx>
        <c:axId val="1971734560"/>
        <c:scaling>
          <c:orientation val="minMax"/>
        </c:scaling>
        <c:delete val="1"/>
        <c:axPos val="l"/>
        <c:numFmt formatCode="General" sourceLinked="1"/>
        <c:majorTickMark val="out"/>
        <c:minorTickMark val="none"/>
        <c:tickLblPos val="nextTo"/>
        <c:crossAx val="1971728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Report'!$R$3:$R$34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Report'!$S$3:$S$34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323-464C-A30E-65AB4B848C8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46133760"/>
        <c:axId val="1946131360"/>
      </c:areaChart>
      <c:catAx>
        <c:axId val="19461337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1946131360"/>
        <c:crosses val="autoZero"/>
        <c:auto val="1"/>
        <c:lblAlgn val="ctr"/>
        <c:lblOffset val="100"/>
        <c:noMultiLvlLbl val="0"/>
      </c:catAx>
      <c:valAx>
        <c:axId val="1946131360"/>
        <c:scaling>
          <c:orientation val="minMax"/>
        </c:scaling>
        <c:delete val="1"/>
        <c:axPos val="l"/>
        <c:numFmt formatCode="0.00" sourceLinked="1"/>
        <c:majorTickMark val="out"/>
        <c:minorTickMark val="none"/>
        <c:tickLblPos val="nextTo"/>
        <c:crossAx val="19461337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[excel_project_2.xlsx]Pivot Report!PivotTable7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Report'!$Z$1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Report'!$Y$2:$Y$33</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Report'!$Z$2:$Z$33</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4945-4624-98D1-37E79E1AC2E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69293455"/>
        <c:axId val="269307375"/>
      </c:areaChart>
      <c:catAx>
        <c:axId val="2692934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269307375"/>
        <c:crosses val="autoZero"/>
        <c:auto val="1"/>
        <c:lblAlgn val="ctr"/>
        <c:lblOffset val="100"/>
        <c:noMultiLvlLbl val="0"/>
      </c:catAx>
      <c:valAx>
        <c:axId val="269307375"/>
        <c:scaling>
          <c:orientation val="minMax"/>
        </c:scaling>
        <c:delete val="1"/>
        <c:axPos val="l"/>
        <c:numFmt formatCode="0.00" sourceLinked="1"/>
        <c:majorTickMark val="out"/>
        <c:minorTickMark val="none"/>
        <c:tickLblPos val="nextTo"/>
        <c:crossAx val="269293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783487</xdr:colOff>
      <xdr:row>28</xdr:row>
      <xdr:rowOff>34324</xdr:rowOff>
    </xdr:from>
    <xdr:to>
      <xdr:col>5</xdr:col>
      <xdr:colOff>116702</xdr:colOff>
      <xdr:row>32</xdr:row>
      <xdr:rowOff>82378</xdr:rowOff>
    </xdr:to>
    <xdr:graphicFrame macro="">
      <xdr:nvGraphicFramePr>
        <xdr:cNvPr id="6" name="Chart 5">
          <a:extLst>
            <a:ext uri="{FF2B5EF4-FFF2-40B4-BE49-F238E27FC236}">
              <a16:creationId xmlns:a16="http://schemas.microsoft.com/office/drawing/2014/main" id="{3257083C-67F0-55EA-A25F-8397620A1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45720</xdr:colOff>
      <xdr:row>0</xdr:row>
      <xdr:rowOff>60960</xdr:rowOff>
    </xdr:from>
    <xdr:to>
      <xdr:col>8</xdr:col>
      <xdr:colOff>30480</xdr:colOff>
      <xdr:row>5</xdr:row>
      <xdr:rowOff>15240</xdr:rowOff>
    </xdr:to>
    <xdr:sp macro="" textlink="">
      <xdr:nvSpPr>
        <xdr:cNvPr id="2" name="Rectangle: Rounded Corners 1">
          <a:extLst>
            <a:ext uri="{FF2B5EF4-FFF2-40B4-BE49-F238E27FC236}">
              <a16:creationId xmlns:a16="http://schemas.microsoft.com/office/drawing/2014/main" id="{8A96A0B2-1683-DA4B-5FB4-EE20B47B02E4}"/>
            </a:ext>
          </a:extLst>
        </xdr:cNvPr>
        <xdr:cNvSpPr/>
      </xdr:nvSpPr>
      <xdr:spPr>
        <a:xfrm>
          <a:off x="45720" y="60960"/>
          <a:ext cx="4861560" cy="868680"/>
        </a:xfrm>
        <a:prstGeom prst="roundRect">
          <a:avLst/>
        </a:prstGeom>
        <a:solidFill>
          <a:schemeClr val="accent3">
            <a:lumMod val="20000"/>
            <a:lumOff val="80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60960</xdr:colOff>
      <xdr:row>0</xdr:row>
      <xdr:rowOff>68580</xdr:rowOff>
    </xdr:from>
    <xdr:to>
      <xdr:col>10</xdr:col>
      <xdr:colOff>266700</xdr:colOff>
      <xdr:row>5</xdr:row>
      <xdr:rowOff>30480</xdr:rowOff>
    </xdr:to>
    <xdr:sp macro="" textlink="">
      <xdr:nvSpPr>
        <xdr:cNvPr id="3" name="Rectangle: Rounded Corners 2">
          <a:extLst>
            <a:ext uri="{FF2B5EF4-FFF2-40B4-BE49-F238E27FC236}">
              <a16:creationId xmlns:a16="http://schemas.microsoft.com/office/drawing/2014/main" id="{83BB1054-8864-8D21-8B10-818222DAA49A}"/>
            </a:ext>
          </a:extLst>
        </xdr:cNvPr>
        <xdr:cNvSpPr/>
      </xdr:nvSpPr>
      <xdr:spPr>
        <a:xfrm>
          <a:off x="4937760" y="68580"/>
          <a:ext cx="1424940" cy="876300"/>
        </a:xfrm>
        <a:prstGeom prst="round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365760</xdr:colOff>
      <xdr:row>0</xdr:row>
      <xdr:rowOff>60960</xdr:rowOff>
    </xdr:from>
    <xdr:to>
      <xdr:col>13</xdr:col>
      <xdr:colOff>449580</xdr:colOff>
      <xdr:row>10</xdr:row>
      <xdr:rowOff>121920</xdr:rowOff>
    </xdr:to>
    <xdr:sp macro="" textlink="">
      <xdr:nvSpPr>
        <xdr:cNvPr id="4" name="Rectangle: Rounded Corners 3">
          <a:extLst>
            <a:ext uri="{FF2B5EF4-FFF2-40B4-BE49-F238E27FC236}">
              <a16:creationId xmlns:a16="http://schemas.microsoft.com/office/drawing/2014/main" id="{0959C950-F9D6-4120-0199-BBCAAE043F4A}"/>
            </a:ext>
          </a:extLst>
        </xdr:cNvPr>
        <xdr:cNvSpPr/>
      </xdr:nvSpPr>
      <xdr:spPr>
        <a:xfrm>
          <a:off x="6461760" y="60960"/>
          <a:ext cx="1912620" cy="1889760"/>
        </a:xfrm>
        <a:prstGeom prst="roundRect">
          <a:avLst>
            <a:gd name="adj" fmla="val 3676"/>
          </a:avLst>
        </a:prstGeom>
        <a:solidFill>
          <a:schemeClr val="tx1">
            <a:lumMod val="85000"/>
            <a:lumOff val="15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518160</xdr:colOff>
      <xdr:row>0</xdr:row>
      <xdr:rowOff>60960</xdr:rowOff>
    </xdr:from>
    <xdr:to>
      <xdr:col>17</xdr:col>
      <xdr:colOff>22860</xdr:colOff>
      <xdr:row>10</xdr:row>
      <xdr:rowOff>121920</xdr:rowOff>
    </xdr:to>
    <xdr:sp macro="" textlink="">
      <xdr:nvSpPr>
        <xdr:cNvPr id="5" name="Rectangle: Rounded Corners 4">
          <a:extLst>
            <a:ext uri="{FF2B5EF4-FFF2-40B4-BE49-F238E27FC236}">
              <a16:creationId xmlns:a16="http://schemas.microsoft.com/office/drawing/2014/main" id="{885C5308-014F-FEBE-39B5-0B2C4C3A6CC3}"/>
            </a:ext>
          </a:extLst>
        </xdr:cNvPr>
        <xdr:cNvSpPr/>
      </xdr:nvSpPr>
      <xdr:spPr>
        <a:xfrm>
          <a:off x="8442960" y="60960"/>
          <a:ext cx="1943100" cy="1889760"/>
        </a:xfrm>
        <a:prstGeom prst="roundRect">
          <a:avLst>
            <a:gd name="adj" fmla="val 4928"/>
          </a:avLst>
        </a:prstGeom>
        <a:solidFill>
          <a:schemeClr val="tx1">
            <a:lumMod val="85000"/>
            <a:lumOff val="15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45720</xdr:colOff>
      <xdr:row>5</xdr:row>
      <xdr:rowOff>53340</xdr:rowOff>
    </xdr:from>
    <xdr:to>
      <xdr:col>1</xdr:col>
      <xdr:colOff>396240</xdr:colOff>
      <xdr:row>24</xdr:row>
      <xdr:rowOff>15240</xdr:rowOff>
    </xdr:to>
    <xdr:sp macro="" textlink="">
      <xdr:nvSpPr>
        <xdr:cNvPr id="6" name="Rectangle: Rounded Corners 5">
          <a:extLst>
            <a:ext uri="{FF2B5EF4-FFF2-40B4-BE49-F238E27FC236}">
              <a16:creationId xmlns:a16="http://schemas.microsoft.com/office/drawing/2014/main" id="{3C8A6597-3C44-FF51-4A0A-A65DE74D52AB}"/>
            </a:ext>
          </a:extLst>
        </xdr:cNvPr>
        <xdr:cNvSpPr/>
      </xdr:nvSpPr>
      <xdr:spPr>
        <a:xfrm>
          <a:off x="45720" y="967740"/>
          <a:ext cx="960120" cy="3436620"/>
        </a:xfrm>
        <a:prstGeom prst="roundRect">
          <a:avLst>
            <a:gd name="adj" fmla="val 7143"/>
          </a:avLst>
        </a:prstGeom>
        <a:solidFill>
          <a:schemeClr val="bg1">
            <a:lumMod val="95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449580</xdr:colOff>
      <xdr:row>5</xdr:row>
      <xdr:rowOff>68580</xdr:rowOff>
    </xdr:from>
    <xdr:to>
      <xdr:col>4</xdr:col>
      <xdr:colOff>301532</xdr:colOff>
      <xdr:row>10</xdr:row>
      <xdr:rowOff>114300</xdr:rowOff>
    </xdr:to>
    <xdr:sp macro="" textlink="">
      <xdr:nvSpPr>
        <xdr:cNvPr id="7" name="Rectangle: Rounded Corners 6">
          <a:extLst>
            <a:ext uri="{FF2B5EF4-FFF2-40B4-BE49-F238E27FC236}">
              <a16:creationId xmlns:a16="http://schemas.microsoft.com/office/drawing/2014/main" id="{9D97BEDA-2CFB-C539-0AA7-F805AB7778A8}"/>
            </a:ext>
          </a:extLst>
        </xdr:cNvPr>
        <xdr:cNvSpPr/>
      </xdr:nvSpPr>
      <xdr:spPr>
        <a:xfrm>
          <a:off x="1059180" y="982980"/>
          <a:ext cx="1680752" cy="960120"/>
        </a:xfrm>
        <a:prstGeom prst="roundRect">
          <a:avLst>
            <a:gd name="adj" fmla="val 7143"/>
          </a:avLst>
        </a:prstGeom>
        <a:solidFill>
          <a:schemeClr val="accent3">
            <a:lumMod val="20000"/>
            <a:lumOff val="80000"/>
          </a:schemeClr>
        </a:solidFill>
        <a:ln>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352154</xdr:colOff>
      <xdr:row>5</xdr:row>
      <xdr:rowOff>68580</xdr:rowOff>
    </xdr:from>
    <xdr:to>
      <xdr:col>7</xdr:col>
      <xdr:colOff>297180</xdr:colOff>
      <xdr:row>10</xdr:row>
      <xdr:rowOff>114300</xdr:rowOff>
    </xdr:to>
    <xdr:sp macro="" textlink="">
      <xdr:nvSpPr>
        <xdr:cNvPr id="8" name="Rectangle: Rounded Corners 7">
          <a:extLst>
            <a:ext uri="{FF2B5EF4-FFF2-40B4-BE49-F238E27FC236}">
              <a16:creationId xmlns:a16="http://schemas.microsoft.com/office/drawing/2014/main" id="{E77E3EEA-350D-B9E8-0CAF-A6417768F59D}"/>
            </a:ext>
          </a:extLst>
        </xdr:cNvPr>
        <xdr:cNvSpPr/>
      </xdr:nvSpPr>
      <xdr:spPr>
        <a:xfrm>
          <a:off x="2790554" y="982980"/>
          <a:ext cx="1773826" cy="960120"/>
        </a:xfrm>
        <a:prstGeom prst="roundRect">
          <a:avLst>
            <a:gd name="adj" fmla="val 7143"/>
          </a:avLst>
        </a:prstGeom>
        <a:solidFill>
          <a:schemeClr val="accent3">
            <a:lumMod val="20000"/>
            <a:lumOff val="80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350520</xdr:colOff>
      <xdr:row>5</xdr:row>
      <xdr:rowOff>68580</xdr:rowOff>
    </xdr:from>
    <xdr:to>
      <xdr:col>10</xdr:col>
      <xdr:colOff>312420</xdr:colOff>
      <xdr:row>10</xdr:row>
      <xdr:rowOff>99060</xdr:rowOff>
    </xdr:to>
    <xdr:sp macro="" textlink="">
      <xdr:nvSpPr>
        <xdr:cNvPr id="9" name="Rectangle: Rounded Corners 8">
          <a:extLst>
            <a:ext uri="{FF2B5EF4-FFF2-40B4-BE49-F238E27FC236}">
              <a16:creationId xmlns:a16="http://schemas.microsoft.com/office/drawing/2014/main" id="{E56B2753-7380-980E-3C53-E094A5469D93}"/>
            </a:ext>
          </a:extLst>
        </xdr:cNvPr>
        <xdr:cNvSpPr/>
      </xdr:nvSpPr>
      <xdr:spPr>
        <a:xfrm>
          <a:off x="4617720" y="982980"/>
          <a:ext cx="1790700" cy="944880"/>
        </a:xfrm>
        <a:prstGeom prst="roundRect">
          <a:avLst>
            <a:gd name="adj" fmla="val 7143"/>
          </a:avLst>
        </a:prstGeom>
        <a:solidFill>
          <a:schemeClr val="accent3">
            <a:lumMod val="20000"/>
            <a:lumOff val="80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434340</xdr:colOff>
      <xdr:row>15</xdr:row>
      <xdr:rowOff>60960</xdr:rowOff>
    </xdr:from>
    <xdr:to>
      <xdr:col>10</xdr:col>
      <xdr:colOff>358140</xdr:colOff>
      <xdr:row>24</xdr:row>
      <xdr:rowOff>0</xdr:rowOff>
    </xdr:to>
    <xdr:sp macro="" textlink="">
      <xdr:nvSpPr>
        <xdr:cNvPr id="15" name="Rectangle: Rounded Corners 14">
          <a:extLst>
            <a:ext uri="{FF2B5EF4-FFF2-40B4-BE49-F238E27FC236}">
              <a16:creationId xmlns:a16="http://schemas.microsoft.com/office/drawing/2014/main" id="{CA42BDC0-C875-D8CD-38EE-D168321F8024}"/>
            </a:ext>
          </a:extLst>
        </xdr:cNvPr>
        <xdr:cNvSpPr/>
      </xdr:nvSpPr>
      <xdr:spPr>
        <a:xfrm>
          <a:off x="1043940" y="2804160"/>
          <a:ext cx="5410200" cy="1584960"/>
        </a:xfrm>
        <a:prstGeom prst="roundRect">
          <a:avLst>
            <a:gd name="adj" fmla="val 7143"/>
          </a:avLst>
        </a:prstGeom>
        <a:solidFill>
          <a:schemeClr val="tx1">
            <a:lumMod val="85000"/>
            <a:lumOff val="15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441960</xdr:colOff>
      <xdr:row>10</xdr:row>
      <xdr:rowOff>160020</xdr:rowOff>
    </xdr:from>
    <xdr:to>
      <xdr:col>10</xdr:col>
      <xdr:colOff>312420</xdr:colOff>
      <xdr:row>15</xdr:row>
      <xdr:rowOff>38100</xdr:rowOff>
    </xdr:to>
    <xdr:sp macro="" textlink="">
      <xdr:nvSpPr>
        <xdr:cNvPr id="16" name="Rectangle: Rounded Corners 15">
          <a:extLst>
            <a:ext uri="{FF2B5EF4-FFF2-40B4-BE49-F238E27FC236}">
              <a16:creationId xmlns:a16="http://schemas.microsoft.com/office/drawing/2014/main" id="{519614FF-7B8E-9F1F-6C1C-513863145B4C}"/>
            </a:ext>
          </a:extLst>
        </xdr:cNvPr>
        <xdr:cNvSpPr/>
      </xdr:nvSpPr>
      <xdr:spPr>
        <a:xfrm>
          <a:off x="1051560" y="1988820"/>
          <a:ext cx="5356860" cy="792480"/>
        </a:xfrm>
        <a:prstGeom prst="roundRect">
          <a:avLst>
            <a:gd name="adj" fmla="val 7143"/>
          </a:avLst>
        </a:prstGeom>
        <a:solidFill>
          <a:schemeClr val="bg1">
            <a:lumMod val="95000"/>
          </a:schemeClr>
        </a:solidFill>
        <a:ln>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358140</xdr:colOff>
      <xdr:row>10</xdr:row>
      <xdr:rowOff>175260</xdr:rowOff>
    </xdr:from>
    <xdr:to>
      <xdr:col>16</xdr:col>
      <xdr:colOff>586740</xdr:colOff>
      <xdr:row>23</xdr:row>
      <xdr:rowOff>144780</xdr:rowOff>
    </xdr:to>
    <xdr:sp macro="" textlink="">
      <xdr:nvSpPr>
        <xdr:cNvPr id="17" name="Rectangle: Rounded Corners 16">
          <a:extLst>
            <a:ext uri="{FF2B5EF4-FFF2-40B4-BE49-F238E27FC236}">
              <a16:creationId xmlns:a16="http://schemas.microsoft.com/office/drawing/2014/main" id="{DF69FD96-CE63-3AFA-DBF8-C1BB1CAF21ED}"/>
            </a:ext>
          </a:extLst>
        </xdr:cNvPr>
        <xdr:cNvSpPr/>
      </xdr:nvSpPr>
      <xdr:spPr>
        <a:xfrm>
          <a:off x="6454140" y="2004060"/>
          <a:ext cx="3886200" cy="2346960"/>
        </a:xfrm>
        <a:prstGeom prst="roundRect">
          <a:avLst>
            <a:gd name="adj" fmla="val 2873"/>
          </a:avLst>
        </a:prstGeom>
        <a:solidFill>
          <a:schemeClr val="tx1">
            <a:lumMod val="85000"/>
            <a:lumOff val="15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274320</xdr:colOff>
      <xdr:row>0</xdr:row>
      <xdr:rowOff>152400</xdr:rowOff>
    </xdr:from>
    <xdr:to>
      <xdr:col>7</xdr:col>
      <xdr:colOff>533400</xdr:colOff>
      <xdr:row>2</xdr:row>
      <xdr:rowOff>121920</xdr:rowOff>
    </xdr:to>
    <xdr:sp macro="" textlink="">
      <xdr:nvSpPr>
        <xdr:cNvPr id="18" name="TextBox 17">
          <a:extLst>
            <a:ext uri="{FF2B5EF4-FFF2-40B4-BE49-F238E27FC236}">
              <a16:creationId xmlns:a16="http://schemas.microsoft.com/office/drawing/2014/main" id="{4638C080-E7B1-3BC3-BD57-5E13373E12B2}"/>
            </a:ext>
          </a:extLst>
        </xdr:cNvPr>
        <xdr:cNvSpPr txBox="1"/>
      </xdr:nvSpPr>
      <xdr:spPr>
        <a:xfrm>
          <a:off x="883920" y="152400"/>
          <a:ext cx="3916680" cy="33528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Hospital</a:t>
          </a:r>
          <a:r>
            <a:rPr lang="en-IN" sz="1800" b="1" baseline="0"/>
            <a:t> Emergency Room Dashboard</a:t>
          </a:r>
          <a:endParaRPr lang="en-IN" sz="1800" b="1"/>
        </a:p>
      </xdr:txBody>
    </xdr:sp>
    <xdr:clientData/>
  </xdr:twoCellAnchor>
  <xdr:twoCellAnchor editAs="oneCell">
    <xdr:from>
      <xdr:col>0</xdr:col>
      <xdr:colOff>0</xdr:colOff>
      <xdr:row>0</xdr:row>
      <xdr:rowOff>0</xdr:rowOff>
    </xdr:from>
    <xdr:to>
      <xdr:col>1</xdr:col>
      <xdr:colOff>502920</xdr:colOff>
      <xdr:row>4</xdr:row>
      <xdr:rowOff>121920</xdr:rowOff>
    </xdr:to>
    <xdr:pic>
      <xdr:nvPicPr>
        <xdr:cNvPr id="20" name="Picture 19">
          <a:extLst>
            <a:ext uri="{FF2B5EF4-FFF2-40B4-BE49-F238E27FC236}">
              <a16:creationId xmlns:a16="http://schemas.microsoft.com/office/drawing/2014/main" id="{46B555A1-4A2A-7014-4C3E-E7C65DE9D1D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620" r="-1389" b="8153"/>
        <a:stretch>
          <a:fillRect/>
        </a:stretch>
      </xdr:blipFill>
      <xdr:spPr>
        <a:xfrm>
          <a:off x="0" y="0"/>
          <a:ext cx="1112520" cy="853440"/>
        </a:xfrm>
        <a:prstGeom prst="rect">
          <a:avLst/>
        </a:prstGeom>
      </xdr:spPr>
    </xdr:pic>
    <xdr:clientData/>
  </xdr:twoCellAnchor>
  <xdr:twoCellAnchor>
    <xdr:from>
      <xdr:col>1</xdr:col>
      <xdr:colOff>518160</xdr:colOff>
      <xdr:row>2</xdr:row>
      <xdr:rowOff>160020</xdr:rowOff>
    </xdr:from>
    <xdr:to>
      <xdr:col>6</xdr:col>
      <xdr:colOff>289560</xdr:colOff>
      <xdr:row>4</xdr:row>
      <xdr:rowOff>114300</xdr:rowOff>
    </xdr:to>
    <xdr:sp macro="" textlink="">
      <xdr:nvSpPr>
        <xdr:cNvPr id="23" name="TextBox 22">
          <a:extLst>
            <a:ext uri="{FF2B5EF4-FFF2-40B4-BE49-F238E27FC236}">
              <a16:creationId xmlns:a16="http://schemas.microsoft.com/office/drawing/2014/main" id="{8A640F7D-583D-EEFF-7F97-89CD8FBF4AFB}"/>
            </a:ext>
          </a:extLst>
        </xdr:cNvPr>
        <xdr:cNvSpPr txBox="1"/>
      </xdr:nvSpPr>
      <xdr:spPr>
        <a:xfrm>
          <a:off x="1127760" y="525780"/>
          <a:ext cx="2819400" cy="32004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Monthly Report</a:t>
          </a:r>
        </a:p>
        <a:p>
          <a:pPr algn="ctr"/>
          <a:endParaRPr lang="en-IN" sz="1200" b="1"/>
        </a:p>
      </xdr:txBody>
    </xdr:sp>
    <xdr:clientData/>
  </xdr:twoCellAnchor>
  <xdr:twoCellAnchor>
    <xdr:from>
      <xdr:col>1</xdr:col>
      <xdr:colOff>533400</xdr:colOff>
      <xdr:row>5</xdr:row>
      <xdr:rowOff>167640</xdr:rowOff>
    </xdr:from>
    <xdr:to>
      <xdr:col>4</xdr:col>
      <xdr:colOff>114300</xdr:colOff>
      <xdr:row>7</xdr:row>
      <xdr:rowOff>45720</xdr:rowOff>
    </xdr:to>
    <xdr:sp macro="" textlink="'Pivot Report'!A7">
      <xdr:nvSpPr>
        <xdr:cNvPr id="24" name="TextBox 23">
          <a:extLst>
            <a:ext uri="{FF2B5EF4-FFF2-40B4-BE49-F238E27FC236}">
              <a16:creationId xmlns:a16="http://schemas.microsoft.com/office/drawing/2014/main" id="{FD9E3CB9-3EAF-34C3-3CB2-916DA352D0BE}"/>
            </a:ext>
          </a:extLst>
        </xdr:cNvPr>
        <xdr:cNvSpPr txBox="1"/>
      </xdr:nvSpPr>
      <xdr:spPr>
        <a:xfrm>
          <a:off x="1143000" y="1082040"/>
          <a:ext cx="1409700" cy="24384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39FF10-45DA-4006-AA1E-8E05CA052C0F}" type="TxLink">
            <a:rPr lang="en-US" sz="1400" b="1" i="0" u="none" strike="noStrike">
              <a:solidFill>
                <a:srgbClr val="000000"/>
              </a:solidFill>
              <a:latin typeface="Calibri"/>
              <a:ea typeface="Calibri"/>
              <a:cs typeface="Calibri"/>
            </a:rPr>
            <a:pPr algn="ctr"/>
            <a:t>513</a:t>
          </a:fld>
          <a:endParaRPr lang="en-IN" sz="1400" b="1"/>
        </a:p>
      </xdr:txBody>
    </xdr:sp>
    <xdr:clientData/>
  </xdr:twoCellAnchor>
  <xdr:twoCellAnchor>
    <xdr:from>
      <xdr:col>1</xdr:col>
      <xdr:colOff>586740</xdr:colOff>
      <xdr:row>7</xdr:row>
      <xdr:rowOff>53340</xdr:rowOff>
    </xdr:from>
    <xdr:to>
      <xdr:col>4</xdr:col>
      <xdr:colOff>167640</xdr:colOff>
      <xdr:row>8</xdr:row>
      <xdr:rowOff>114300</xdr:rowOff>
    </xdr:to>
    <xdr:sp macro="" textlink="">
      <xdr:nvSpPr>
        <xdr:cNvPr id="25" name="TextBox 24">
          <a:extLst>
            <a:ext uri="{FF2B5EF4-FFF2-40B4-BE49-F238E27FC236}">
              <a16:creationId xmlns:a16="http://schemas.microsoft.com/office/drawing/2014/main" id="{D1819D95-B5F8-133A-2472-CE609F69FCB7}"/>
            </a:ext>
          </a:extLst>
        </xdr:cNvPr>
        <xdr:cNvSpPr txBox="1"/>
      </xdr:nvSpPr>
      <xdr:spPr>
        <a:xfrm>
          <a:off x="1196340" y="1333500"/>
          <a:ext cx="1409700" cy="24384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No.</a:t>
          </a:r>
          <a:r>
            <a:rPr lang="en-IN" sz="1200" b="1" baseline="0"/>
            <a:t> of Patient</a:t>
          </a:r>
        </a:p>
        <a:p>
          <a:pPr algn="ctr"/>
          <a:endParaRPr lang="en-IN" sz="1200" b="1"/>
        </a:p>
        <a:p>
          <a:pPr algn="ctr"/>
          <a:endParaRPr lang="en-IN" sz="1200" b="1"/>
        </a:p>
      </xdr:txBody>
    </xdr:sp>
    <xdr:clientData/>
  </xdr:twoCellAnchor>
  <xdr:twoCellAnchor>
    <xdr:from>
      <xdr:col>1</xdr:col>
      <xdr:colOff>525780</xdr:colOff>
      <xdr:row>5</xdr:row>
      <xdr:rowOff>167640</xdr:rowOff>
    </xdr:from>
    <xdr:to>
      <xdr:col>4</xdr:col>
      <xdr:colOff>106680</xdr:colOff>
      <xdr:row>7</xdr:row>
      <xdr:rowOff>45720</xdr:rowOff>
    </xdr:to>
    <xdr:sp macro="" textlink="'Pivot Report'!A7">
      <xdr:nvSpPr>
        <xdr:cNvPr id="26" name="TextBox 25">
          <a:extLst>
            <a:ext uri="{FF2B5EF4-FFF2-40B4-BE49-F238E27FC236}">
              <a16:creationId xmlns:a16="http://schemas.microsoft.com/office/drawing/2014/main" id="{BAC8B792-F1A0-2BB0-0FF3-4BE78C1D6C06}"/>
            </a:ext>
          </a:extLst>
        </xdr:cNvPr>
        <xdr:cNvSpPr txBox="1"/>
      </xdr:nvSpPr>
      <xdr:spPr>
        <a:xfrm>
          <a:off x="1135380" y="1082040"/>
          <a:ext cx="1409700" cy="24384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39FF10-45DA-4006-AA1E-8E05CA052C0F}" type="TxLink">
            <a:rPr lang="en-US" sz="1400" b="1" i="0" u="none" strike="noStrike">
              <a:solidFill>
                <a:srgbClr val="000000"/>
              </a:solidFill>
              <a:latin typeface="Calibri"/>
              <a:ea typeface="Calibri"/>
              <a:cs typeface="Calibri"/>
            </a:rPr>
            <a:pPr algn="ctr"/>
            <a:t>513</a:t>
          </a:fld>
          <a:endParaRPr lang="en-IN" sz="1400" b="1"/>
        </a:p>
      </xdr:txBody>
    </xdr:sp>
    <xdr:clientData/>
  </xdr:twoCellAnchor>
  <xdr:twoCellAnchor>
    <xdr:from>
      <xdr:col>4</xdr:col>
      <xdr:colOff>510540</xdr:colOff>
      <xdr:row>7</xdr:row>
      <xdr:rowOff>53340</xdr:rowOff>
    </xdr:from>
    <xdr:to>
      <xdr:col>7</xdr:col>
      <xdr:colOff>91440</xdr:colOff>
      <xdr:row>8</xdr:row>
      <xdr:rowOff>114300</xdr:rowOff>
    </xdr:to>
    <xdr:sp macro="" textlink="">
      <xdr:nvSpPr>
        <xdr:cNvPr id="27" name="TextBox 26">
          <a:extLst>
            <a:ext uri="{FF2B5EF4-FFF2-40B4-BE49-F238E27FC236}">
              <a16:creationId xmlns:a16="http://schemas.microsoft.com/office/drawing/2014/main" id="{68CD1023-46E0-751C-C3B8-AB6DCC81A8F7}"/>
            </a:ext>
          </a:extLst>
        </xdr:cNvPr>
        <xdr:cNvSpPr txBox="1"/>
      </xdr:nvSpPr>
      <xdr:spPr>
        <a:xfrm>
          <a:off x="2948940" y="1333500"/>
          <a:ext cx="1409700" cy="243840"/>
        </a:xfrm>
        <a:prstGeom prst="rect">
          <a:avLst/>
        </a:prstGeom>
        <a:solidFill>
          <a:schemeClr val="accent3">
            <a:lumMod val="20000"/>
            <a:lumOff val="80000"/>
          </a:schemeClr>
        </a:solidFill>
        <a:ln w="9525" cmpd="sng">
          <a:solidFill>
            <a:schemeClr val="accent3">
              <a:lumMod val="20000"/>
              <a:lumOff val="80000"/>
              <a:alpha val="92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baseline="0"/>
            <a:t>Average Wait Time </a:t>
          </a:r>
        </a:p>
        <a:p>
          <a:pPr algn="ctr"/>
          <a:endParaRPr lang="en-IN" sz="1200" b="1"/>
        </a:p>
        <a:p>
          <a:pPr algn="ctr"/>
          <a:endParaRPr lang="en-IN" sz="1200" b="1"/>
        </a:p>
      </xdr:txBody>
    </xdr:sp>
    <xdr:clientData/>
  </xdr:twoCellAnchor>
  <xdr:twoCellAnchor>
    <xdr:from>
      <xdr:col>4</xdr:col>
      <xdr:colOff>449580</xdr:colOff>
      <xdr:row>5</xdr:row>
      <xdr:rowOff>167640</xdr:rowOff>
    </xdr:from>
    <xdr:to>
      <xdr:col>7</xdr:col>
      <xdr:colOff>30480</xdr:colOff>
      <xdr:row>7</xdr:row>
      <xdr:rowOff>45720</xdr:rowOff>
    </xdr:to>
    <xdr:sp macro="" textlink="'Pivot Report'!A11">
      <xdr:nvSpPr>
        <xdr:cNvPr id="28" name="TextBox 27">
          <a:extLst>
            <a:ext uri="{FF2B5EF4-FFF2-40B4-BE49-F238E27FC236}">
              <a16:creationId xmlns:a16="http://schemas.microsoft.com/office/drawing/2014/main" id="{741CE7C1-347B-B984-837A-572FF0544E1C}"/>
            </a:ext>
          </a:extLst>
        </xdr:cNvPr>
        <xdr:cNvSpPr txBox="1"/>
      </xdr:nvSpPr>
      <xdr:spPr>
        <a:xfrm>
          <a:off x="2887980" y="1082040"/>
          <a:ext cx="1409700" cy="24384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636CB2-C7CA-4AFA-B6D6-B86807FB424C}" type="TxLink">
            <a:rPr lang="en-US" sz="1100" b="1" i="0" u="none" strike="noStrike">
              <a:solidFill>
                <a:srgbClr val="000000"/>
              </a:solidFill>
              <a:latin typeface="Calibri"/>
              <a:ea typeface="Calibri"/>
              <a:cs typeface="Calibri"/>
            </a:rPr>
            <a:pPr algn="ctr"/>
            <a:t>36.32</a:t>
          </a:fld>
          <a:endParaRPr lang="en-IN" sz="1400" b="1"/>
        </a:p>
      </xdr:txBody>
    </xdr:sp>
    <xdr:clientData/>
  </xdr:twoCellAnchor>
  <xdr:twoCellAnchor>
    <xdr:from>
      <xdr:col>7</xdr:col>
      <xdr:colOff>403860</xdr:colOff>
      <xdr:row>7</xdr:row>
      <xdr:rowOff>68580</xdr:rowOff>
    </xdr:from>
    <xdr:to>
      <xdr:col>10</xdr:col>
      <xdr:colOff>259080</xdr:colOff>
      <xdr:row>8</xdr:row>
      <xdr:rowOff>129540</xdr:rowOff>
    </xdr:to>
    <xdr:sp macro="" textlink="">
      <xdr:nvSpPr>
        <xdr:cNvPr id="29" name="TextBox 28">
          <a:extLst>
            <a:ext uri="{FF2B5EF4-FFF2-40B4-BE49-F238E27FC236}">
              <a16:creationId xmlns:a16="http://schemas.microsoft.com/office/drawing/2014/main" id="{30F0EB83-ACBE-3FD9-C502-796E35AA70BB}"/>
            </a:ext>
          </a:extLst>
        </xdr:cNvPr>
        <xdr:cNvSpPr txBox="1"/>
      </xdr:nvSpPr>
      <xdr:spPr>
        <a:xfrm>
          <a:off x="4671060" y="1348740"/>
          <a:ext cx="1684020" cy="24384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200" b="1" baseline="0"/>
            <a:t>Patient Satisfaction Score</a:t>
          </a:r>
        </a:p>
        <a:p>
          <a:pPr algn="l"/>
          <a:endParaRPr lang="en-IN" sz="1200" b="1" baseline="0"/>
        </a:p>
        <a:p>
          <a:pPr algn="ctr"/>
          <a:endParaRPr lang="en-IN" sz="1200" b="1"/>
        </a:p>
        <a:p>
          <a:pPr algn="ctr"/>
          <a:endParaRPr lang="en-IN" sz="1200" b="1"/>
        </a:p>
      </xdr:txBody>
    </xdr:sp>
    <xdr:clientData/>
  </xdr:twoCellAnchor>
  <xdr:twoCellAnchor>
    <xdr:from>
      <xdr:col>7</xdr:col>
      <xdr:colOff>541020</xdr:colOff>
      <xdr:row>5</xdr:row>
      <xdr:rowOff>167640</xdr:rowOff>
    </xdr:from>
    <xdr:to>
      <xdr:col>10</xdr:col>
      <xdr:colOff>121920</xdr:colOff>
      <xdr:row>7</xdr:row>
      <xdr:rowOff>45720</xdr:rowOff>
    </xdr:to>
    <xdr:sp macro="" textlink="'Pivot Report'!A15">
      <xdr:nvSpPr>
        <xdr:cNvPr id="30" name="TextBox 29">
          <a:extLst>
            <a:ext uri="{FF2B5EF4-FFF2-40B4-BE49-F238E27FC236}">
              <a16:creationId xmlns:a16="http://schemas.microsoft.com/office/drawing/2014/main" id="{7BE13307-BA0D-E149-60B7-53089A3E1AD7}"/>
            </a:ext>
          </a:extLst>
        </xdr:cNvPr>
        <xdr:cNvSpPr txBox="1"/>
      </xdr:nvSpPr>
      <xdr:spPr>
        <a:xfrm>
          <a:off x="4808220" y="1082040"/>
          <a:ext cx="1409700" cy="24384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7DF15A-74C0-4175-B5BA-74B392CF6720}" type="TxLink">
            <a:rPr lang="en-US" sz="1100" b="1" i="0" u="none" strike="noStrike">
              <a:solidFill>
                <a:srgbClr val="000000"/>
              </a:solidFill>
              <a:latin typeface="Calibri"/>
              <a:ea typeface="Calibri"/>
              <a:cs typeface="Calibri"/>
            </a:rPr>
            <a:pPr algn="ctr"/>
            <a:t>4.96</a:t>
          </a:fld>
          <a:endParaRPr lang="en-IN" sz="1400" b="1"/>
        </a:p>
      </xdr:txBody>
    </xdr:sp>
    <xdr:clientData/>
  </xdr:twoCellAnchor>
  <xdr:twoCellAnchor editAs="oneCell">
    <xdr:from>
      <xdr:col>9</xdr:col>
      <xdr:colOff>495300</xdr:colOff>
      <xdr:row>5</xdr:row>
      <xdr:rowOff>144780</xdr:rowOff>
    </xdr:from>
    <xdr:to>
      <xdr:col>10</xdr:col>
      <xdr:colOff>182880</xdr:colOff>
      <xdr:row>7</xdr:row>
      <xdr:rowOff>76200</xdr:rowOff>
    </xdr:to>
    <xdr:pic>
      <xdr:nvPicPr>
        <xdr:cNvPr id="32" name="Graphic 31" descr="Customer review with solid fill">
          <a:extLst>
            <a:ext uri="{FF2B5EF4-FFF2-40B4-BE49-F238E27FC236}">
              <a16:creationId xmlns:a16="http://schemas.microsoft.com/office/drawing/2014/main" id="{7CCD21EE-1C9F-B1DE-DAE9-233CC3D5BC4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981700" y="1059180"/>
          <a:ext cx="297180" cy="297180"/>
        </a:xfrm>
        <a:prstGeom prst="rect">
          <a:avLst/>
        </a:prstGeom>
      </xdr:spPr>
    </xdr:pic>
    <xdr:clientData/>
  </xdr:twoCellAnchor>
  <xdr:twoCellAnchor editAs="oneCell">
    <xdr:from>
      <xdr:col>6</xdr:col>
      <xdr:colOff>492900</xdr:colOff>
      <xdr:row>5</xdr:row>
      <xdr:rowOff>119520</xdr:rowOff>
    </xdr:from>
    <xdr:to>
      <xdr:col>7</xdr:col>
      <xdr:colOff>220980</xdr:colOff>
      <xdr:row>7</xdr:row>
      <xdr:rowOff>91440</xdr:rowOff>
    </xdr:to>
    <xdr:pic>
      <xdr:nvPicPr>
        <xdr:cNvPr id="34" name="Graphic 33" descr="Hourglass Finished with solid fill">
          <a:extLst>
            <a:ext uri="{FF2B5EF4-FFF2-40B4-BE49-F238E27FC236}">
              <a16:creationId xmlns:a16="http://schemas.microsoft.com/office/drawing/2014/main" id="{1204A094-D1A2-623B-E770-D32046B06D0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50500" y="1033920"/>
          <a:ext cx="337680" cy="337680"/>
        </a:xfrm>
        <a:prstGeom prst="rect">
          <a:avLst/>
        </a:prstGeom>
      </xdr:spPr>
    </xdr:pic>
    <xdr:clientData/>
  </xdr:twoCellAnchor>
  <xdr:twoCellAnchor editAs="oneCell">
    <xdr:from>
      <xdr:col>3</xdr:col>
      <xdr:colOff>566700</xdr:colOff>
      <xdr:row>5</xdr:row>
      <xdr:rowOff>117120</xdr:rowOff>
    </xdr:from>
    <xdr:to>
      <xdr:col>4</xdr:col>
      <xdr:colOff>266700</xdr:colOff>
      <xdr:row>7</xdr:row>
      <xdr:rowOff>60960</xdr:rowOff>
    </xdr:to>
    <xdr:pic>
      <xdr:nvPicPr>
        <xdr:cNvPr id="36" name="Graphic 35" descr="User with solid fill">
          <a:extLst>
            <a:ext uri="{FF2B5EF4-FFF2-40B4-BE49-F238E27FC236}">
              <a16:creationId xmlns:a16="http://schemas.microsoft.com/office/drawing/2014/main" id="{B924F83C-4CE1-D565-D996-0C79FA6C27E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95500" y="1031520"/>
          <a:ext cx="309600" cy="309600"/>
        </a:xfrm>
        <a:prstGeom prst="rect">
          <a:avLst/>
        </a:prstGeom>
      </xdr:spPr>
    </xdr:pic>
    <xdr:clientData/>
  </xdr:twoCellAnchor>
  <xdr:twoCellAnchor editAs="oneCell">
    <xdr:from>
      <xdr:col>0</xdr:col>
      <xdr:colOff>129540</xdr:colOff>
      <xdr:row>5</xdr:row>
      <xdr:rowOff>137160</xdr:rowOff>
    </xdr:from>
    <xdr:to>
      <xdr:col>1</xdr:col>
      <xdr:colOff>342900</xdr:colOff>
      <xdr:row>23</xdr:row>
      <xdr:rowOff>137160</xdr:rowOff>
    </xdr:to>
    <mc:AlternateContent xmlns:mc="http://schemas.openxmlformats.org/markup-compatibility/2006" xmlns:a14="http://schemas.microsoft.com/office/drawing/2010/main">
      <mc:Choice Requires="a14">
        <xdr:graphicFrame macro="">
          <xdr:nvGraphicFramePr>
            <xdr:cNvPr id="37" name="Date (Month) 1">
              <a:extLst>
                <a:ext uri="{FF2B5EF4-FFF2-40B4-BE49-F238E27FC236}">
                  <a16:creationId xmlns:a16="http://schemas.microsoft.com/office/drawing/2014/main" id="{7C365F04-6D18-4401-97DF-74C5A19F3EE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9540" y="1051560"/>
              <a:ext cx="822960" cy="3291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457200</xdr:colOff>
      <xdr:row>6</xdr:row>
      <xdr:rowOff>114300</xdr:rowOff>
    </xdr:from>
    <xdr:to>
      <xdr:col>4</xdr:col>
      <xdr:colOff>274320</xdr:colOff>
      <xdr:row>10</xdr:row>
      <xdr:rowOff>91440</xdr:rowOff>
    </xdr:to>
    <xdr:graphicFrame macro="">
      <xdr:nvGraphicFramePr>
        <xdr:cNvPr id="38" name="Chart 37">
          <a:hlinkClick xmlns:r="http://schemas.openxmlformats.org/officeDocument/2006/relationships" r:id="rId8"/>
          <a:extLst>
            <a:ext uri="{FF2B5EF4-FFF2-40B4-BE49-F238E27FC236}">
              <a16:creationId xmlns:a16="http://schemas.microsoft.com/office/drawing/2014/main" id="{5BF5044D-158B-4EB1-ABCC-D72741D19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236220</xdr:colOff>
      <xdr:row>5</xdr:row>
      <xdr:rowOff>167640</xdr:rowOff>
    </xdr:from>
    <xdr:to>
      <xdr:col>7</xdr:col>
      <xdr:colOff>304800</xdr:colOff>
      <xdr:row>10</xdr:row>
      <xdr:rowOff>91440</xdr:rowOff>
    </xdr:to>
    <xdr:graphicFrame macro="">
      <xdr:nvGraphicFramePr>
        <xdr:cNvPr id="40" name="Chart 39">
          <a:hlinkClick xmlns:r="http://schemas.openxmlformats.org/officeDocument/2006/relationships" r:id="rId10"/>
          <a:extLst>
            <a:ext uri="{FF2B5EF4-FFF2-40B4-BE49-F238E27FC236}">
              <a16:creationId xmlns:a16="http://schemas.microsoft.com/office/drawing/2014/main" id="{C6CAA351-5076-4B6C-8441-165043279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373380</xdr:colOff>
      <xdr:row>7</xdr:row>
      <xdr:rowOff>7620</xdr:rowOff>
    </xdr:from>
    <xdr:to>
      <xdr:col>10</xdr:col>
      <xdr:colOff>274320</xdr:colOff>
      <xdr:row>10</xdr:row>
      <xdr:rowOff>91440</xdr:rowOff>
    </xdr:to>
    <xdr:graphicFrame macro="">
      <xdr:nvGraphicFramePr>
        <xdr:cNvPr id="41" name="Chart 40">
          <a:hlinkClick xmlns:r="http://schemas.openxmlformats.org/officeDocument/2006/relationships" r:id="rId12"/>
          <a:extLst>
            <a:ext uri="{FF2B5EF4-FFF2-40B4-BE49-F238E27FC236}">
              <a16:creationId xmlns:a16="http://schemas.microsoft.com/office/drawing/2014/main" id="{AABBEC9F-C04F-48EC-8D53-407EC9963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464820</xdr:colOff>
          <xdr:row>11</xdr:row>
          <xdr:rowOff>7620</xdr:rowOff>
        </xdr:from>
        <xdr:to>
          <xdr:col>10</xdr:col>
          <xdr:colOff>289560</xdr:colOff>
          <xdr:row>15</xdr:row>
          <xdr:rowOff>22860</xdr:rowOff>
        </xdr:to>
        <xdr:pic>
          <xdr:nvPicPr>
            <xdr:cNvPr id="19" name="Picture 18">
              <a:extLst>
                <a:ext uri="{FF2B5EF4-FFF2-40B4-BE49-F238E27FC236}">
                  <a16:creationId xmlns:a16="http://schemas.microsoft.com/office/drawing/2014/main" id="{4C011AA3-D31E-D47D-B18D-DD126626AA5D}"/>
                </a:ext>
              </a:extLst>
            </xdr:cNvPr>
            <xdr:cNvPicPr>
              <a:picLocks noChangeAspect="1" noChangeArrowheads="1"/>
              <a:extLst>
                <a:ext uri="{84589F7E-364E-4C9E-8A38-B11213B215E9}">
                  <a14:cameraTool cellRange="'Pivot Report'!$A$29:$E$31" spid="_x0000_s2102"/>
                </a:ext>
              </a:extLst>
            </xdr:cNvPicPr>
          </xdr:nvPicPr>
          <xdr:blipFill>
            <a:blip xmlns:r="http://schemas.openxmlformats.org/officeDocument/2006/relationships" r:embed="rId14"/>
            <a:srcRect/>
            <a:stretch>
              <a:fillRect/>
            </a:stretch>
          </xdr:blipFill>
          <xdr:spPr bwMode="auto">
            <a:xfrm>
              <a:off x="1074420" y="2019300"/>
              <a:ext cx="5311140" cy="7467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518160</xdr:colOff>
      <xdr:row>15</xdr:row>
      <xdr:rowOff>114300</xdr:rowOff>
    </xdr:from>
    <xdr:to>
      <xdr:col>10</xdr:col>
      <xdr:colOff>281940</xdr:colOff>
      <xdr:row>22</xdr:row>
      <xdr:rowOff>114300</xdr:rowOff>
    </xdr:to>
    <xdr:graphicFrame macro="">
      <xdr:nvGraphicFramePr>
        <xdr:cNvPr id="21" name="Chart 20">
          <a:extLst>
            <a:ext uri="{FF2B5EF4-FFF2-40B4-BE49-F238E27FC236}">
              <a16:creationId xmlns:a16="http://schemas.microsoft.com/office/drawing/2014/main" id="{E616DA6D-56AF-4826-A062-CCF5D43AB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228600</xdr:colOff>
      <xdr:row>22</xdr:row>
      <xdr:rowOff>129540</xdr:rowOff>
    </xdr:from>
    <xdr:to>
      <xdr:col>8</xdr:col>
      <xdr:colOff>45720</xdr:colOff>
      <xdr:row>23</xdr:row>
      <xdr:rowOff>167640</xdr:rowOff>
    </xdr:to>
    <xdr:sp macro="" textlink="">
      <xdr:nvSpPr>
        <xdr:cNvPr id="22" name="TextBox 21">
          <a:extLst>
            <a:ext uri="{FF2B5EF4-FFF2-40B4-BE49-F238E27FC236}">
              <a16:creationId xmlns:a16="http://schemas.microsoft.com/office/drawing/2014/main" id="{D4A35886-BC9A-F8B9-26DB-69DFB144F4D8}"/>
            </a:ext>
          </a:extLst>
        </xdr:cNvPr>
        <xdr:cNvSpPr txBox="1"/>
      </xdr:nvSpPr>
      <xdr:spPr>
        <a:xfrm>
          <a:off x="2057400" y="4152900"/>
          <a:ext cx="2865120" cy="220980"/>
        </a:xfrm>
        <a:prstGeom prst="rect">
          <a:avLst/>
        </a:prstGeom>
        <a:solidFill>
          <a:schemeClr val="tx1">
            <a:lumMod val="85000"/>
            <a:lumOff val="1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FFF00"/>
              </a:solidFill>
            </a:rPr>
            <a:t>No.of Patient by Age Group</a:t>
          </a:r>
        </a:p>
        <a:p>
          <a:pPr algn="ctr"/>
          <a:endParaRPr lang="en-IN" sz="1200">
            <a:solidFill>
              <a:srgbClr val="FFFF00"/>
            </a:solidFill>
          </a:endParaRPr>
        </a:p>
      </xdr:txBody>
    </xdr:sp>
    <xdr:clientData/>
  </xdr:twoCellAnchor>
  <xdr:twoCellAnchor>
    <xdr:from>
      <xdr:col>10</xdr:col>
      <xdr:colOff>373380</xdr:colOff>
      <xdr:row>0</xdr:row>
      <xdr:rowOff>83820</xdr:rowOff>
    </xdr:from>
    <xdr:to>
      <xdr:col>13</xdr:col>
      <xdr:colOff>419100</xdr:colOff>
      <xdr:row>10</xdr:row>
      <xdr:rowOff>83820</xdr:rowOff>
    </xdr:to>
    <xdr:graphicFrame macro="">
      <xdr:nvGraphicFramePr>
        <xdr:cNvPr id="31" name="Chart 30">
          <a:extLst>
            <a:ext uri="{FF2B5EF4-FFF2-40B4-BE49-F238E27FC236}">
              <a16:creationId xmlns:a16="http://schemas.microsoft.com/office/drawing/2014/main" id="{E4AD368E-11C2-444B-B170-B2DBD1AEC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579120</xdr:colOff>
      <xdr:row>0</xdr:row>
      <xdr:rowOff>83820</xdr:rowOff>
    </xdr:from>
    <xdr:to>
      <xdr:col>16</xdr:col>
      <xdr:colOff>586740</xdr:colOff>
      <xdr:row>10</xdr:row>
      <xdr:rowOff>68580</xdr:rowOff>
    </xdr:to>
    <xdr:graphicFrame macro="">
      <xdr:nvGraphicFramePr>
        <xdr:cNvPr id="33" name="Chart 32">
          <a:extLst>
            <a:ext uri="{FF2B5EF4-FFF2-40B4-BE49-F238E27FC236}">
              <a16:creationId xmlns:a16="http://schemas.microsoft.com/office/drawing/2014/main" id="{EE262459-B5A6-4D5A-A034-2FAC78861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601980</xdr:colOff>
      <xdr:row>8</xdr:row>
      <xdr:rowOff>144780</xdr:rowOff>
    </xdr:from>
    <xdr:to>
      <xdr:col>16</xdr:col>
      <xdr:colOff>533400</xdr:colOff>
      <xdr:row>10</xdr:row>
      <xdr:rowOff>30480</xdr:rowOff>
    </xdr:to>
    <xdr:sp macro="" textlink="">
      <xdr:nvSpPr>
        <xdr:cNvPr id="35" name="TextBox 34">
          <a:extLst>
            <a:ext uri="{FF2B5EF4-FFF2-40B4-BE49-F238E27FC236}">
              <a16:creationId xmlns:a16="http://schemas.microsoft.com/office/drawing/2014/main" id="{FA9E6E3C-448C-3704-6F36-1F19F1D0755D}"/>
            </a:ext>
          </a:extLst>
        </xdr:cNvPr>
        <xdr:cNvSpPr txBox="1"/>
      </xdr:nvSpPr>
      <xdr:spPr>
        <a:xfrm>
          <a:off x="8526780" y="1607820"/>
          <a:ext cx="1760220" cy="25146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FFF00"/>
              </a:solidFill>
            </a:rPr>
            <a:t>Gender Wise Analysis</a:t>
          </a:r>
        </a:p>
        <a:p>
          <a:pPr algn="ctr"/>
          <a:endParaRPr lang="en-IN" sz="1200">
            <a:solidFill>
              <a:srgbClr val="FFFF00"/>
            </a:solidFill>
          </a:endParaRPr>
        </a:p>
      </xdr:txBody>
    </xdr:sp>
    <xdr:clientData/>
  </xdr:twoCellAnchor>
  <xdr:twoCellAnchor>
    <xdr:from>
      <xdr:col>10</xdr:col>
      <xdr:colOff>396240</xdr:colOff>
      <xdr:row>11</xdr:row>
      <xdr:rowOff>30480</xdr:rowOff>
    </xdr:from>
    <xdr:to>
      <xdr:col>16</xdr:col>
      <xdr:colOff>541020</xdr:colOff>
      <xdr:row>23</xdr:row>
      <xdr:rowOff>99060</xdr:rowOff>
    </xdr:to>
    <xdr:graphicFrame macro="">
      <xdr:nvGraphicFramePr>
        <xdr:cNvPr id="39" name="Chart 38">
          <a:extLst>
            <a:ext uri="{FF2B5EF4-FFF2-40B4-BE49-F238E27FC236}">
              <a16:creationId xmlns:a16="http://schemas.microsoft.com/office/drawing/2014/main" id="{2D1CFC8D-12AD-4F4B-A047-33E9ECEC0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0</xdr:colOff>
      <xdr:row>22</xdr:row>
      <xdr:rowOff>38100</xdr:rowOff>
    </xdr:from>
    <xdr:to>
      <xdr:col>16</xdr:col>
      <xdr:colOff>350520</xdr:colOff>
      <xdr:row>23</xdr:row>
      <xdr:rowOff>91440</xdr:rowOff>
    </xdr:to>
    <xdr:sp macro="" textlink="">
      <xdr:nvSpPr>
        <xdr:cNvPr id="42" name="TextBox 41">
          <a:extLst>
            <a:ext uri="{FF2B5EF4-FFF2-40B4-BE49-F238E27FC236}">
              <a16:creationId xmlns:a16="http://schemas.microsoft.com/office/drawing/2014/main" id="{425076C5-3233-4CF6-8886-AADEAC82668C}"/>
            </a:ext>
          </a:extLst>
        </xdr:cNvPr>
        <xdr:cNvSpPr txBox="1"/>
      </xdr:nvSpPr>
      <xdr:spPr>
        <a:xfrm>
          <a:off x="6705600" y="4061460"/>
          <a:ext cx="3398520" cy="23622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FFF00"/>
              </a:solidFill>
            </a:rPr>
            <a:t>No. of Patient by Department Referal</a:t>
          </a:r>
        </a:p>
        <a:p>
          <a:pPr algn="ctr"/>
          <a:endParaRPr lang="en-IN" sz="1200">
            <a:solidFill>
              <a:srgbClr val="FFFF00"/>
            </a:solidFill>
          </a:endParaRPr>
        </a:p>
      </xdr:txBody>
    </xdr:sp>
    <xdr:clientData/>
  </xdr:twoCellAnchor>
  <xdr:twoCellAnchor editAs="oneCell">
    <xdr:from>
      <xdr:col>8</xdr:col>
      <xdr:colOff>68580</xdr:colOff>
      <xdr:row>0</xdr:row>
      <xdr:rowOff>160020</xdr:rowOff>
    </xdr:from>
    <xdr:to>
      <xdr:col>10</xdr:col>
      <xdr:colOff>236220</xdr:colOff>
      <xdr:row>4</xdr:row>
      <xdr:rowOff>106680</xdr:rowOff>
    </xdr:to>
    <mc:AlternateContent xmlns:mc="http://schemas.openxmlformats.org/markup-compatibility/2006" xmlns:a14="http://schemas.microsoft.com/office/drawing/2010/main">
      <mc:Choice Requires="a14">
        <xdr:graphicFrame macro="">
          <xdr:nvGraphicFramePr>
            <xdr:cNvPr id="43" name="Date (Year)">
              <a:extLst>
                <a:ext uri="{FF2B5EF4-FFF2-40B4-BE49-F238E27FC236}">
                  <a16:creationId xmlns:a16="http://schemas.microsoft.com/office/drawing/2014/main" id="{87ECA776-A9F6-4697-B991-4ACA9D1862D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945380" y="160020"/>
              <a:ext cx="1386840" cy="683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0.03252</cdr:x>
      <cdr:y>0.86667</cdr:y>
    </cdr:from>
    <cdr:to>
      <cdr:x>0.9878</cdr:x>
      <cdr:y>0.975</cdr:y>
    </cdr:to>
    <cdr:sp macro="" textlink="">
      <cdr:nvSpPr>
        <cdr:cNvPr id="2" name="TextBox 1">
          <a:extLst xmlns:a="http://schemas.openxmlformats.org/drawingml/2006/main">
            <a:ext uri="{FF2B5EF4-FFF2-40B4-BE49-F238E27FC236}">
              <a16:creationId xmlns:a16="http://schemas.microsoft.com/office/drawing/2014/main" id="{E97A5116-780A-04FD-B521-1C3216F394B0}"/>
            </a:ext>
          </a:extLst>
        </cdr:cNvPr>
        <cdr:cNvSpPr txBox="1"/>
      </cdr:nvSpPr>
      <cdr:spPr>
        <a:xfrm xmlns:a="http://schemas.openxmlformats.org/drawingml/2006/main">
          <a:off x="60960" y="1584960"/>
          <a:ext cx="1790700" cy="19812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r>
            <a:rPr lang="en-IN" sz="1200" kern="1200">
              <a:solidFill>
                <a:srgbClr val="FFFF00"/>
              </a:solidFill>
            </a:rPr>
            <a:t>Patient</a:t>
          </a:r>
          <a:r>
            <a:rPr lang="en-IN" sz="1200" kern="1200" baseline="0">
              <a:solidFill>
                <a:srgbClr val="FFFF00"/>
              </a:solidFill>
            </a:rPr>
            <a:t> Attend Status</a:t>
          </a:r>
        </a:p>
        <a:p xmlns:a="http://schemas.openxmlformats.org/drawingml/2006/main">
          <a:pPr algn="ctr"/>
          <a:endParaRPr lang="en-IN" sz="1200" kern="1200">
            <a:solidFill>
              <a:srgbClr val="FFFF00"/>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53340</xdr:colOff>
      <xdr:row>2</xdr:row>
      <xdr:rowOff>60960</xdr:rowOff>
    </xdr:from>
    <xdr:to>
      <xdr:col>16</xdr:col>
      <xdr:colOff>182880</xdr:colOff>
      <xdr:row>21</xdr:row>
      <xdr:rowOff>0</xdr:rowOff>
    </xdr:to>
    <xdr:graphicFrame macro="">
      <xdr:nvGraphicFramePr>
        <xdr:cNvPr id="2" name="Chart 1">
          <a:extLst>
            <a:ext uri="{FF2B5EF4-FFF2-40B4-BE49-F238E27FC236}">
              <a16:creationId xmlns:a16="http://schemas.microsoft.com/office/drawing/2014/main" id="{FEC83E50-4E9C-4685-B123-5DE113D1A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0</xdr:row>
      <xdr:rowOff>30480</xdr:rowOff>
    </xdr:from>
    <xdr:to>
      <xdr:col>0</xdr:col>
      <xdr:colOff>457200</xdr:colOff>
      <xdr:row>2</xdr:row>
      <xdr:rowOff>68580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AA6A7E8-2000-E0D0-0E9D-F036CBCFB3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40" y="30480"/>
          <a:ext cx="403860" cy="4038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541020</xdr:colOff>
      <xdr:row>2</xdr:row>
      <xdr:rowOff>7620</xdr:rowOff>
    </xdr:from>
    <xdr:to>
      <xdr:col>18</xdr:col>
      <xdr:colOff>396240</xdr:colOff>
      <xdr:row>30</xdr:row>
      <xdr:rowOff>121920</xdr:rowOff>
    </xdr:to>
    <xdr:graphicFrame macro="">
      <xdr:nvGraphicFramePr>
        <xdr:cNvPr id="2" name="Chart 1">
          <a:extLst>
            <a:ext uri="{FF2B5EF4-FFF2-40B4-BE49-F238E27FC236}">
              <a16:creationId xmlns:a16="http://schemas.microsoft.com/office/drawing/2014/main" id="{A203124C-1409-436A-AD34-301D27900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198120</xdr:colOff>
      <xdr:row>0</xdr:row>
      <xdr:rowOff>121920</xdr:rowOff>
    </xdr:from>
    <xdr:to>
      <xdr:col>1</xdr:col>
      <xdr:colOff>114300</xdr:colOff>
      <xdr:row>3</xdr:row>
      <xdr:rowOff>99060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55D4C324-7132-440C-B035-2C6C4BF953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8120" y="121920"/>
          <a:ext cx="525780" cy="5257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236220</xdr:colOff>
      <xdr:row>4</xdr:row>
      <xdr:rowOff>106680</xdr:rowOff>
    </xdr:from>
    <xdr:to>
      <xdr:col>17</xdr:col>
      <xdr:colOff>411480</xdr:colOff>
      <xdr:row>24</xdr:row>
      <xdr:rowOff>0</xdr:rowOff>
    </xdr:to>
    <xdr:graphicFrame macro="">
      <xdr:nvGraphicFramePr>
        <xdr:cNvPr id="2" name="Chart 1">
          <a:extLst>
            <a:ext uri="{FF2B5EF4-FFF2-40B4-BE49-F238E27FC236}">
              <a16:creationId xmlns:a16="http://schemas.microsoft.com/office/drawing/2014/main" id="{B3AAB66B-7FE0-4C05-974B-37957476F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121920</xdr:colOff>
      <xdr:row>0</xdr:row>
      <xdr:rowOff>114300</xdr:rowOff>
    </xdr:from>
    <xdr:to>
      <xdr:col>1</xdr:col>
      <xdr:colOff>38100</xdr:colOff>
      <xdr:row>3</xdr:row>
      <xdr:rowOff>91440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E1BE8A2B-5189-4CA1-B95C-38E4FC16F7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920" y="114300"/>
          <a:ext cx="525780" cy="5257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2685188" createdVersion="5" refreshedVersion="8" minRefreshableVersion="3" recordCount="0" supportSubquery="1" supportAdvancedDrill="1" xr:uid="{BC2EDE5F-F269-4539-959F-63F9FEF4132B}">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314815" createdVersion="5" refreshedVersion="8" minRefreshableVersion="3" recordCount="0" supportSubquery="1" supportAdvancedDrill="1" xr:uid="{F7E97432-8E47-4C5B-A141-4E9587BFC8B0}">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3379627" createdVersion="5" refreshedVersion="8" minRefreshableVersion="3" recordCount="0" supportSubquery="1" supportAdvancedDrill="1" xr:uid="{ED023EB4-805C-4EA0-8507-CF7F7E7F5C1E}">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3726851" createdVersion="5" refreshedVersion="8" minRefreshableVersion="3" recordCount="0" supportSubquery="1" supportAdvancedDrill="1" xr:uid="{B40CE36A-2396-4EFD-9FAD-8487E53AD2D9}">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4305558" createdVersion="5" refreshedVersion="8" minRefreshableVersion="3" recordCount="0" supportSubquery="1" supportAdvancedDrill="1" xr:uid="{3B9EED93-88BB-4515-AACF-A3F308B70613}">
  <cacheSource type="external" connectionId="3"/>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4999998" createdVersion="5" refreshedVersion="8" minRefreshableVersion="3" recordCount="0" supportSubquery="1" supportAdvancedDrill="1" xr:uid="{1847B404-FDAC-4F51-A226-3A8A1199D672}">
  <cacheSource type="external" connectionId="3"/>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5694444" createdVersion="5" refreshedVersion="8" minRefreshableVersion="3" recordCount="0" supportSubquery="1" supportAdvancedDrill="1" xr:uid="{F1A2C2B4-38D5-4E31-A72D-3940491C767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6273145" createdVersion="5" refreshedVersion="8" minRefreshableVersion="3" recordCount="0" supportSubquery="1" supportAdvancedDrill="1" xr:uid="{36A337D4-84B2-4B0A-BA74-6FE4EEED4037}">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6967591" createdVersion="5" refreshedVersion="8" minRefreshableVersion="3" recordCount="0" supportSubquery="1" supportAdvancedDrill="1" xr:uid="{F976F6CF-8F17-476D-8C5C-60B76AFB039D}">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7546299" createdVersion="5" refreshedVersion="8" minRefreshableVersion="3" recordCount="0" supportSubquery="1" supportAdvancedDrill="1" xr:uid="{816A5655-333F-4A2C-AEC6-DF23E2E8A610}">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8125" createdVersion="5" refreshedVersion="8" minRefreshableVersion="3" recordCount="0" supportSubquery="1" supportAdvancedDrill="1" xr:uid="{1B4D8C96-E73C-4101-8748-2F87DC9FC7F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5628587962" createdVersion="5" refreshedVersion="8" minRefreshableVersion="3" recordCount="0" supportSubquery="1" supportAdvancedDrill="1" xr:uid="{B7C8A5C8-844E-4D5A-809B-CA045D38C7CC}">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Gupta" refreshedDate="46048.821469675924" createdVersion="3" refreshedVersion="8" minRefreshableVersion="3" recordCount="0" supportSubquery="1" supportAdvancedDrill="1" xr:uid="{0787443E-A15B-4306-848C-0FF5A5F9DE8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125249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5D4E5-EFEE-447E-9532-56CFFB1E74AC}" name="PivotTable7" cacheId="5" applyNumberFormats="0" applyBorderFormats="0" applyFontFormats="0" applyPatternFormats="0" applyAlignmentFormats="0" applyWidthHeightFormats="1" dataCaption="Values" tag="abb06a73-722d-4340-919a-7b9e8b0c28ef" updatedVersion="8" minRefreshableVersion="3" subtotalHiddenItems="1" itemPrintTitles="1" createdVersion="5" indent="0" outline="1" outlineData="1" multipleFieldFilters="0" chartFormat="27">
  <location ref="Y1:Z33"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0">
      <pivotArea collapsedLevelsAreSubtotals="1" fieldPosition="0">
        <references count="1">
          <reference field="0" count="0"/>
        </references>
      </pivotArea>
    </format>
  </formats>
  <chartFormats count="2">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03228C-10F4-4C50-BCEA-00C836DA6FEE}" name="PivotTable10" cacheId="9" applyNumberFormats="0" applyBorderFormats="0" applyFontFormats="0" applyPatternFormats="0" applyAlignmentFormats="0" applyWidthHeightFormats="1" dataCaption="Values" tag="7e9d864f-a017-486c-b6ad-7edcd41feddd" updatedVersion="8" minRefreshableVersion="3" itemPrintTitles="1" createdVersion="5" indent="0" outline="1" outlineData="1" multipleFieldFilters="0" chartFormat="18">
  <location ref="A81:B8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F4C5F-DA99-4B33-BEB6-446226200477}" name="PivotTable1" cacheId="1" applyNumberFormats="0" applyBorderFormats="0" applyFontFormats="0" applyPatternFormats="0" applyAlignmentFormats="0" applyWidthHeightFormats="1" dataCaption="Values" tag="8287bcda-ca7b-4542-8775-510e898e5a77"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D043EB-FB6B-4216-9993-C4E759089665}" name="PivotTable6" cacheId="4" applyNumberFormats="0" applyBorderFormats="0" applyFontFormats="0" applyPatternFormats="0" applyAlignmentFormats="0" applyWidthHeightFormats="1" dataCaption="Values" tag="de6fb4e5-a714-4bad-aa44-9a3d0c7fa278" updatedVersion="8" minRefreshableVersion="3" subtotalHiddenItems="1" itemPrintTitles="1" createdVersion="5" indent="0" outline="1" outlineData="1" multipleFieldFilters="0" chartFormat="20">
  <location ref="R2:S3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3">
      <pivotArea collapsedLevelsAreSubtotals="1" fieldPosition="0">
        <references count="1">
          <reference field="0" count="0"/>
        </references>
      </pivotArea>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0025E3-4C10-45F1-ADA5-F736A7ADFDC3}" name="PivotTable9" cacheId="8" applyNumberFormats="0" applyBorderFormats="0" applyFontFormats="0" applyPatternFormats="0" applyAlignmentFormats="0" applyWidthHeightFormats="1" dataCaption="Values" tag="7e9d864f-a017-486c-b6ad-7edcd41feddd" updatedVersion="8" minRefreshableVersion="3" itemPrintTitles="1" createdVersion="5" indent="0" outline="1" outlineData="1" multipleFieldFilters="0" chartFormat="13">
  <location ref="A74:B7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AAF2F1-24AF-45AB-A97F-7BD9026F1425}" name="PivotTable5" cacheId="0" applyNumberFormats="0" applyBorderFormats="0" applyFontFormats="0" applyPatternFormats="0" applyAlignmentFormats="0" applyWidthHeightFormats="1" dataCaption="Values" tag="947cb997-2507-4e2d-a1bc-68d06975eeb5" updatedVersion="8" minRefreshableVersion="3" subtotalHiddenItems="1" itemPrintTitles="1" createdVersion="5" indent="0" outline="1" outlineData="1" multipleFieldFilters="0" chartFormat="13">
  <location ref="J5:K37"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7B21FD-8A2D-4E9D-A987-DF2159B88735}" name="PivotTable4" cacheId="7" applyNumberFormats="0" applyBorderFormats="0" applyFontFormats="0" applyPatternFormats="0" applyAlignmentFormats="0" applyWidthHeightFormats="1" dataCaption="Values" tag="7e9d864f-a017-486c-b6ad-7edcd41feddd" updatedVersion="8" minRefreshableVersion="3" itemPrintTitles="1" createdVersion="5" indent="0" outline="1" outlineData="1" multipleFieldFilters="0" chartFormat="7">
  <location ref="A37:B4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775168-1A57-4824-ACED-FCFAE7FA459B}" name="PivotTable3" cacheId="3" applyNumberFormats="0" applyBorderFormats="0" applyFontFormats="0" applyPatternFormats="0" applyAlignmentFormats="0" applyWidthHeightFormats="1" dataCaption="Values" tag="feeb3da0-fead-4829-bc24-f9bd49954a36" updatedVersion="8" minRefreshableVersion="3"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6ADECE-34F5-4910-803B-710B68D50221}" name="PivotTable8" cacheId="6" applyNumberFormats="0" applyBorderFormats="0" applyFontFormats="0" applyPatternFormats="0" applyAlignmentFormats="0" applyWidthHeightFormats="1" dataCaption="Values" tag="7e9d864f-a017-486c-b6ad-7edcd41feddd" updatedVersion="8" minRefreshableVersion="3" itemPrintTitles="1" createdVersion="5" indent="0" outline="1" outlineData="1" multipleFieldFilters="0" chartFormat="2">
  <location ref="A22:C25"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1">
      <pivotArea outline="0" collapsedLevelsAreSubtotals="1" fieldPosition="0"/>
    </format>
    <format dxfId="10">
      <pivotArea collapsedLevelsAreSubtotals="1" fieldPosition="0">
        <references count="1">
          <reference field="1" count="0"/>
        </references>
      </pivotArea>
    </format>
    <format dxfId="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29C7C3-6893-4967-AF41-36AD4FC86287}" name="PivotTable12" cacheId="11" applyNumberFormats="0" applyBorderFormats="0" applyFontFormats="0" applyPatternFormats="0" applyAlignmentFormats="0" applyWidthHeightFormats="1" dataCaption="Values" tag="7e9d864f-a017-486c-b6ad-7edcd41feddd" updatedVersion="8" minRefreshableVersion="3" itemPrintTitles="1" createdVersion="5" indent="0" outline="1" outlineData="1" multipleFieldFilters="0" chartFormat="22">
  <location ref="A106:A10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2">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95755B-043C-45F2-AF13-78BCDC09FD13}" name="PivotTable11" cacheId="10" applyNumberFormats="0" applyBorderFormats="0" applyFontFormats="0" applyPatternFormats="0" applyAlignmentFormats="0" applyWidthHeightFormats="1" dataCaption="Values" tag="7e9d864f-a017-486c-b6ad-7edcd41feddd" updatedVersion="8" minRefreshableVersion="3" itemPrintTitles="1" createdVersion="5" indent="0" outline="1" outlineData="1" multipleFieldFilters="0" chartFormat="22">
  <location ref="A91:B10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14">
      <pivotArea outline="0" collapsedLevelsAreSubtotals="1" fieldPosition="0"/>
    </format>
    <format dxfId="13">
      <pivotArea collapsedLevelsAreSubtotals="1" fieldPosition="0">
        <references count="1">
          <reference field="1" count="0"/>
        </references>
      </pivotArea>
    </format>
  </format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27BF26-419C-44D4-A3CB-1EFDF65DEE60}" name="PivotTable2" cacheId="2" applyNumberFormats="0" applyBorderFormats="0" applyFontFormats="0" applyPatternFormats="0" applyAlignmentFormats="0" applyWidthHeightFormats="1" dataCaption="Values" tag="5a11ba0b-ea4d-4bae-a3a9-50c5a9b96db5" updatedVersion="8" minRefreshableVersion="3"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6F28D9D-9362-476C-B8CE-91DF4BF381EA}" sourceName="[Calendar_Table].[Date (Month)]">
  <pivotTables>
    <pivotTable tabId="2" name="PivotTable5"/>
    <pivotTable tabId="2" name="PivotTable1"/>
    <pivotTable tabId="2" name="PivotTable2"/>
    <pivotTable tabId="2" name="PivotTable3"/>
    <pivotTable tabId="2" name="PivotTable6"/>
    <pivotTable tabId="2" name="PivotTable7"/>
    <pivotTable tabId="2" name="PivotTable8"/>
    <pivotTable tabId="2" name="PivotTable4"/>
    <pivotTable tabId="2" name="PivotTable9"/>
    <pivotTable tabId="2" name="PivotTable10"/>
    <pivotTable tabId="2" name="PivotTable11"/>
    <pivotTable tabId="2" name="PivotTable12"/>
  </pivotTables>
  <data>
    <olap pivotCacheId="101252490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1AC65BF-F2FE-4389-A1B5-D379CD5A91BC}" sourceName="[Calendar_Table].[Date (Year)]">
  <pivotTables>
    <pivotTable tabId="2" name="PivotTable12"/>
    <pivotTable tabId="2" name="PivotTable1"/>
    <pivotTable tabId="2" name="PivotTable10"/>
    <pivotTable tabId="2" name="PivotTable11"/>
    <pivotTable tabId="2" name="PivotTable2"/>
  </pivotTables>
  <data>
    <olap pivotCacheId="101252490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AEEF5A6-27B0-449B-9774-13D21DAE9773}" cache="Slicer_Date__Month" caption="Date (Month)" showCaption="0" level="1" style="SlicerStyleDark5" rowHeight="234950"/>
  <slicer name="Date (Year)" xr10:uid="{CACA8B98-7697-4B77-B3B6-2303CC8257A8}" cache="Slicer_Date__Year" caption="Date (Year)" showCaption="0" level="1"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2C9D6-CC39-4269-BD03-6B50A4E9B89B}">
  <dimension ref="A1:Z108"/>
  <sheetViews>
    <sheetView topLeftCell="A99" zoomScale="111" workbookViewId="0">
      <selection activeCell="A106" sqref="A106"/>
    </sheetView>
  </sheetViews>
  <sheetFormatPr defaultRowHeight="14.4" x14ac:dyDescent="0.3"/>
  <cols>
    <col min="1" max="1" width="17.6640625" customWidth="1"/>
    <col min="2" max="2" width="16.6640625" customWidth="1"/>
    <col min="3" max="3" width="14.77734375" customWidth="1"/>
    <col min="4" max="4" width="8.33203125" customWidth="1"/>
    <col min="10" max="11" width="23.88671875" bestFit="1" customWidth="1"/>
    <col min="18" max="18" width="12.5546875" bestFit="1" customWidth="1"/>
    <col min="19" max="19" width="23.88671875" bestFit="1" customWidth="1"/>
    <col min="25" max="25" width="12.5546875" bestFit="1" customWidth="1"/>
    <col min="26" max="26" width="32.44140625" bestFit="1" customWidth="1"/>
  </cols>
  <sheetData>
    <row r="1" spans="1:26" x14ac:dyDescent="0.3">
      <c r="Y1" s="1" t="s">
        <v>4</v>
      </c>
      <c r="Z1" t="s">
        <v>3</v>
      </c>
    </row>
    <row r="2" spans="1:26" x14ac:dyDescent="0.3">
      <c r="O2" t="s">
        <v>8</v>
      </c>
      <c r="R2" s="1" t="s">
        <v>4</v>
      </c>
      <c r="S2" t="s">
        <v>2</v>
      </c>
      <c r="V2" t="s">
        <v>10</v>
      </c>
      <c r="Y2" s="4" t="s">
        <v>19</v>
      </c>
      <c r="Z2" s="2">
        <v>6.666666666666667</v>
      </c>
    </row>
    <row r="3" spans="1:26" x14ac:dyDescent="0.3">
      <c r="J3" t="s">
        <v>7</v>
      </c>
      <c r="R3" s="4" t="s">
        <v>19</v>
      </c>
      <c r="S3" s="2">
        <v>37.789473684210527</v>
      </c>
      <c r="Y3" s="4" t="s">
        <v>20</v>
      </c>
      <c r="Z3" s="2">
        <v>3.5</v>
      </c>
    </row>
    <row r="4" spans="1:26" x14ac:dyDescent="0.3">
      <c r="R4" s="4" t="s">
        <v>20</v>
      </c>
      <c r="S4" s="2">
        <v>38.214285714285715</v>
      </c>
      <c r="Y4" s="4" t="s">
        <v>21</v>
      </c>
      <c r="Z4" s="2">
        <v>4.5</v>
      </c>
    </row>
    <row r="5" spans="1:26" x14ac:dyDescent="0.3">
      <c r="A5" t="s">
        <v>1</v>
      </c>
      <c r="J5" s="1" t="s">
        <v>4</v>
      </c>
      <c r="K5" t="s">
        <v>0</v>
      </c>
      <c r="R5" s="4" t="s">
        <v>21</v>
      </c>
      <c r="S5" s="2">
        <v>40.92307692307692</v>
      </c>
      <c r="Y5" s="4" t="s">
        <v>22</v>
      </c>
      <c r="Z5" s="2">
        <v>4.8</v>
      </c>
    </row>
    <row r="6" spans="1:26" x14ac:dyDescent="0.3">
      <c r="A6" t="s">
        <v>0</v>
      </c>
      <c r="J6" s="4" t="s">
        <v>19</v>
      </c>
      <c r="K6">
        <v>19</v>
      </c>
      <c r="R6" s="4" t="s">
        <v>22</v>
      </c>
      <c r="S6" s="2">
        <v>34.5</v>
      </c>
      <c r="Y6" s="4" t="s">
        <v>23</v>
      </c>
      <c r="Z6" s="2">
        <v>7.75</v>
      </c>
    </row>
    <row r="7" spans="1:26" x14ac:dyDescent="0.3">
      <c r="A7">
        <v>513</v>
      </c>
      <c r="J7" s="4" t="s">
        <v>20</v>
      </c>
      <c r="K7">
        <v>14</v>
      </c>
      <c r="R7" s="4" t="s">
        <v>23</v>
      </c>
      <c r="S7" s="2">
        <v>30.684210526315791</v>
      </c>
      <c r="Y7" s="4" t="s">
        <v>24</v>
      </c>
      <c r="Z7" s="2">
        <v>6.2</v>
      </c>
    </row>
    <row r="8" spans="1:26" x14ac:dyDescent="0.3">
      <c r="J8" s="4" t="s">
        <v>21</v>
      </c>
      <c r="K8">
        <v>13</v>
      </c>
      <c r="R8" s="4" t="s">
        <v>24</v>
      </c>
      <c r="S8" s="2">
        <v>37.666666666666664</v>
      </c>
      <c r="Y8" s="4" t="s">
        <v>25</v>
      </c>
      <c r="Z8" s="2">
        <v>3.75</v>
      </c>
    </row>
    <row r="9" spans="1:26" x14ac:dyDescent="0.3">
      <c r="J9" s="4" t="s">
        <v>22</v>
      </c>
      <c r="K9">
        <v>22</v>
      </c>
      <c r="R9" s="4" t="s">
        <v>25</v>
      </c>
      <c r="S9" s="2">
        <v>36.083333333333336</v>
      </c>
      <c r="Y9" s="4" t="s">
        <v>26</v>
      </c>
      <c r="Z9" s="2">
        <v>6.5</v>
      </c>
    </row>
    <row r="10" spans="1:26" x14ac:dyDescent="0.3">
      <c r="A10" t="s">
        <v>2</v>
      </c>
      <c r="J10" s="4" t="s">
        <v>23</v>
      </c>
      <c r="K10">
        <v>19</v>
      </c>
      <c r="R10" s="4" t="s">
        <v>26</v>
      </c>
      <c r="S10" s="2">
        <v>43.523809523809526</v>
      </c>
      <c r="Y10" s="4" t="s">
        <v>27</v>
      </c>
      <c r="Z10" s="2">
        <v>3</v>
      </c>
    </row>
    <row r="11" spans="1:26" x14ac:dyDescent="0.3">
      <c r="A11" s="2">
        <v>36.323586744639378</v>
      </c>
      <c r="J11" s="4" t="s">
        <v>24</v>
      </c>
      <c r="K11">
        <v>15</v>
      </c>
      <c r="R11" s="4" t="s">
        <v>27</v>
      </c>
      <c r="S11" s="2">
        <v>29.5</v>
      </c>
      <c r="Y11" s="4" t="s">
        <v>28</v>
      </c>
      <c r="Z11" s="2">
        <v>4.5</v>
      </c>
    </row>
    <row r="12" spans="1:26" x14ac:dyDescent="0.3">
      <c r="J12" s="4" t="s">
        <v>25</v>
      </c>
      <c r="K12">
        <v>12</v>
      </c>
      <c r="R12" s="4" t="s">
        <v>28</v>
      </c>
      <c r="S12" s="2">
        <v>38.07692307692308</v>
      </c>
      <c r="Y12" s="4" t="s">
        <v>29</v>
      </c>
      <c r="Z12" s="2">
        <v>6</v>
      </c>
    </row>
    <row r="13" spans="1:26" x14ac:dyDescent="0.3">
      <c r="J13" s="4" t="s">
        <v>26</v>
      </c>
      <c r="K13">
        <v>21</v>
      </c>
      <c r="R13" s="4" t="s">
        <v>29</v>
      </c>
      <c r="S13" s="2">
        <v>35.846153846153847</v>
      </c>
      <c r="Y13" s="4" t="s">
        <v>30</v>
      </c>
      <c r="Z13" s="2">
        <v>5.2</v>
      </c>
    </row>
    <row r="14" spans="1:26" x14ac:dyDescent="0.3">
      <c r="A14" t="s">
        <v>3</v>
      </c>
      <c r="J14" s="4" t="s">
        <v>27</v>
      </c>
      <c r="K14">
        <v>12</v>
      </c>
      <c r="R14" s="4" t="s">
        <v>30</v>
      </c>
      <c r="S14" s="2">
        <v>32.625</v>
      </c>
      <c r="Y14" s="4" t="s">
        <v>31</v>
      </c>
      <c r="Z14" s="2">
        <v>4.4000000000000004</v>
      </c>
    </row>
    <row r="15" spans="1:26" x14ac:dyDescent="0.3">
      <c r="A15" s="2">
        <v>4.9591836734693882</v>
      </c>
      <c r="J15" s="4" t="s">
        <v>28</v>
      </c>
      <c r="K15">
        <v>13</v>
      </c>
      <c r="R15" s="4" t="s">
        <v>31</v>
      </c>
      <c r="S15" s="2">
        <v>39.200000000000003</v>
      </c>
      <c r="Y15" s="4" t="s">
        <v>32</v>
      </c>
      <c r="Z15" s="2">
        <v>3.4545454545454546</v>
      </c>
    </row>
    <row r="16" spans="1:26" x14ac:dyDescent="0.3">
      <c r="J16" s="4" t="s">
        <v>29</v>
      </c>
      <c r="K16">
        <v>13</v>
      </c>
      <c r="R16" s="4" t="s">
        <v>32</v>
      </c>
      <c r="S16" s="2">
        <v>35.28</v>
      </c>
      <c r="Y16" s="4" t="s">
        <v>33</v>
      </c>
      <c r="Z16" s="2">
        <v>4.4000000000000004</v>
      </c>
    </row>
    <row r="17" spans="1:26" x14ac:dyDescent="0.3">
      <c r="J17" s="4" t="s">
        <v>30</v>
      </c>
      <c r="K17">
        <v>16</v>
      </c>
      <c r="R17" s="4" t="s">
        <v>33</v>
      </c>
      <c r="S17" s="2">
        <v>32.549999999999997</v>
      </c>
      <c r="Y17" s="4" t="s">
        <v>34</v>
      </c>
      <c r="Z17" s="2">
        <v>5.833333333333333</v>
      </c>
    </row>
    <row r="18" spans="1:26" x14ac:dyDescent="0.3">
      <c r="J18" s="4" t="s">
        <v>31</v>
      </c>
      <c r="K18">
        <v>20</v>
      </c>
      <c r="R18" s="4" t="s">
        <v>34</v>
      </c>
      <c r="S18" s="2">
        <v>35.642857142857146</v>
      </c>
      <c r="Y18" s="4" t="s">
        <v>35</v>
      </c>
      <c r="Z18" s="2">
        <v>4.4444444444444446</v>
      </c>
    </row>
    <row r="19" spans="1:26" x14ac:dyDescent="0.3">
      <c r="J19" s="4" t="s">
        <v>32</v>
      </c>
      <c r="K19">
        <v>25</v>
      </c>
      <c r="R19" s="4" t="s">
        <v>35</v>
      </c>
      <c r="S19" s="2">
        <v>38.764705882352942</v>
      </c>
      <c r="Y19" s="4" t="s">
        <v>36</v>
      </c>
      <c r="Z19" s="2">
        <v>5.333333333333333</v>
      </c>
    </row>
    <row r="20" spans="1:26" x14ac:dyDescent="0.3">
      <c r="J20" s="4" t="s">
        <v>33</v>
      </c>
      <c r="K20">
        <v>20</v>
      </c>
      <c r="R20" s="4" t="s">
        <v>36</v>
      </c>
      <c r="S20" s="2">
        <v>39.9</v>
      </c>
      <c r="Y20" s="4" t="s">
        <v>37</v>
      </c>
      <c r="Z20" s="2">
        <v>5.333333333333333</v>
      </c>
    </row>
    <row r="21" spans="1:26" x14ac:dyDescent="0.3">
      <c r="J21" s="4" t="s">
        <v>34</v>
      </c>
      <c r="K21">
        <v>14</v>
      </c>
      <c r="R21" s="4" t="s">
        <v>37</v>
      </c>
      <c r="S21" s="2">
        <v>41.6</v>
      </c>
      <c r="Y21" s="4" t="s">
        <v>38</v>
      </c>
      <c r="Z21" s="2">
        <v>5.5714285714285712</v>
      </c>
    </row>
    <row r="22" spans="1:26" x14ac:dyDescent="0.3">
      <c r="A22" s="1" t="s">
        <v>4</v>
      </c>
      <c r="B22" t="s">
        <v>14</v>
      </c>
      <c r="C22" t="s">
        <v>15</v>
      </c>
      <c r="J22" s="4" t="s">
        <v>35</v>
      </c>
      <c r="K22">
        <v>17</v>
      </c>
      <c r="R22" s="4" t="s">
        <v>38</v>
      </c>
      <c r="S22" s="2">
        <v>39.470588235294116</v>
      </c>
      <c r="Y22" s="4" t="s">
        <v>39</v>
      </c>
      <c r="Z22" s="2">
        <v>5</v>
      </c>
    </row>
    <row r="23" spans="1:26" x14ac:dyDescent="0.3">
      <c r="A23" s="4" t="s">
        <v>12</v>
      </c>
      <c r="B23" s="10">
        <v>269</v>
      </c>
      <c r="C23" s="11">
        <v>0.52436647173489281</v>
      </c>
      <c r="J23" s="4" t="s">
        <v>36</v>
      </c>
      <c r="K23">
        <v>20</v>
      </c>
      <c r="R23" s="4" t="s">
        <v>39</v>
      </c>
      <c r="S23" s="2">
        <v>27.733333333333334</v>
      </c>
      <c r="Y23" s="4" t="s">
        <v>40</v>
      </c>
      <c r="Z23" s="2">
        <v>6.4</v>
      </c>
    </row>
    <row r="24" spans="1:26" x14ac:dyDescent="0.3">
      <c r="A24" s="4" t="s">
        <v>13</v>
      </c>
      <c r="B24" s="10">
        <v>244</v>
      </c>
      <c r="C24" s="11">
        <v>0.47563352826510719</v>
      </c>
      <c r="J24" s="4" t="s">
        <v>37</v>
      </c>
      <c r="K24">
        <v>10</v>
      </c>
      <c r="R24" s="4" t="s">
        <v>40</v>
      </c>
      <c r="S24" s="2">
        <v>36.875</v>
      </c>
      <c r="Y24" s="4" t="s">
        <v>41</v>
      </c>
      <c r="Z24" s="2">
        <v>5.333333333333333</v>
      </c>
    </row>
    <row r="25" spans="1:26" x14ac:dyDescent="0.3">
      <c r="A25" s="4" t="s">
        <v>5</v>
      </c>
      <c r="B25" s="2">
        <v>513</v>
      </c>
      <c r="C25" s="11">
        <v>1</v>
      </c>
      <c r="J25" s="4" t="s">
        <v>38</v>
      </c>
      <c r="K25">
        <v>17</v>
      </c>
      <c r="R25" s="4" t="s">
        <v>41</v>
      </c>
      <c r="S25" s="2">
        <v>40.333333333333336</v>
      </c>
      <c r="Y25" s="4" t="s">
        <v>42</v>
      </c>
      <c r="Z25" s="2">
        <v>3.75</v>
      </c>
    </row>
    <row r="26" spans="1:26" x14ac:dyDescent="0.3">
      <c r="J26" s="4" t="s">
        <v>39</v>
      </c>
      <c r="K26">
        <v>15</v>
      </c>
      <c r="R26" s="4" t="s">
        <v>42</v>
      </c>
      <c r="S26" s="2">
        <v>36.5</v>
      </c>
      <c r="Y26" s="4" t="s">
        <v>43</v>
      </c>
      <c r="Z26" s="2">
        <v>6.333333333333333</v>
      </c>
    </row>
    <row r="27" spans="1:26" x14ac:dyDescent="0.3">
      <c r="J27" s="4" t="s">
        <v>40</v>
      </c>
      <c r="K27">
        <v>16</v>
      </c>
      <c r="R27" s="4" t="s">
        <v>43</v>
      </c>
      <c r="S27" s="2">
        <v>32.866666666666667</v>
      </c>
      <c r="Y27" s="4" t="s">
        <v>44</v>
      </c>
      <c r="Z27" s="2">
        <v>10</v>
      </c>
    </row>
    <row r="28" spans="1:26" x14ac:dyDescent="0.3">
      <c r="J28" s="4" t="s">
        <v>41</v>
      </c>
      <c r="K28">
        <v>18</v>
      </c>
      <c r="R28" s="4" t="s">
        <v>44</v>
      </c>
      <c r="S28" s="2">
        <v>36.642857142857146</v>
      </c>
      <c r="Y28" s="4" t="s">
        <v>45</v>
      </c>
      <c r="Z28" s="2">
        <v>5</v>
      </c>
    </row>
    <row r="29" spans="1:26" x14ac:dyDescent="0.3">
      <c r="A29" s="13" t="s">
        <v>16</v>
      </c>
      <c r="B29" s="13" t="s">
        <v>17</v>
      </c>
      <c r="C29" s="13" t="s">
        <v>18</v>
      </c>
      <c r="D29" s="12"/>
      <c r="E29" s="12"/>
      <c r="J29" s="4" t="s">
        <v>42</v>
      </c>
      <c r="K29">
        <v>16</v>
      </c>
      <c r="R29" s="4" t="s">
        <v>45</v>
      </c>
      <c r="S29" s="2">
        <v>36.5625</v>
      </c>
      <c r="Y29" s="4" t="s">
        <v>46</v>
      </c>
      <c r="Z29" s="2">
        <v>5.333333333333333</v>
      </c>
    </row>
    <row r="30" spans="1:26" x14ac:dyDescent="0.3">
      <c r="A30" s="14" t="str">
        <f>A24</f>
        <v>Not Admitted</v>
      </c>
      <c r="B30" s="15">
        <f>B24</f>
        <v>244</v>
      </c>
      <c r="C30" s="16">
        <f>C24</f>
        <v>0.47563352826510719</v>
      </c>
      <c r="J30" s="4" t="s">
        <v>43</v>
      </c>
      <c r="K30">
        <v>15</v>
      </c>
      <c r="R30" s="4" t="s">
        <v>46</v>
      </c>
      <c r="S30" s="2">
        <v>32.15</v>
      </c>
      <c r="Y30" s="4" t="s">
        <v>47</v>
      </c>
      <c r="Z30" s="2">
        <v>4.8</v>
      </c>
    </row>
    <row r="31" spans="1:26" x14ac:dyDescent="0.3">
      <c r="A31" s="14" t="str">
        <f>A23</f>
        <v>Admitted</v>
      </c>
      <c r="B31" s="15">
        <f>B23</f>
        <v>269</v>
      </c>
      <c r="C31" s="16">
        <f>C23</f>
        <v>0.52436647173489281</v>
      </c>
      <c r="J31" s="4" t="s">
        <v>44</v>
      </c>
      <c r="K31">
        <v>14</v>
      </c>
      <c r="R31" s="4" t="s">
        <v>47</v>
      </c>
      <c r="S31" s="2">
        <v>38.368421052631582</v>
      </c>
      <c r="Y31" s="4" t="s">
        <v>48</v>
      </c>
      <c r="Z31" s="2">
        <v>5</v>
      </c>
    </row>
    <row r="32" spans="1:26" x14ac:dyDescent="0.3">
      <c r="J32" s="4" t="s">
        <v>45</v>
      </c>
      <c r="K32">
        <v>16</v>
      </c>
      <c r="R32" s="4" t="s">
        <v>48</v>
      </c>
      <c r="S32" s="2">
        <v>33.071428571428569</v>
      </c>
      <c r="Y32" s="4" t="s">
        <v>49</v>
      </c>
      <c r="Z32" s="2">
        <v>1.4</v>
      </c>
    </row>
    <row r="33" spans="1:26" x14ac:dyDescent="0.3">
      <c r="J33" s="4" t="s">
        <v>46</v>
      </c>
      <c r="K33">
        <v>20</v>
      </c>
      <c r="R33" s="4" t="s">
        <v>49</v>
      </c>
      <c r="S33" s="2">
        <v>36.444444444444443</v>
      </c>
      <c r="Y33" s="4" t="s">
        <v>5</v>
      </c>
      <c r="Z33">
        <v>4.9591836734693882</v>
      </c>
    </row>
    <row r="34" spans="1:26" x14ac:dyDescent="0.3">
      <c r="J34" s="4" t="s">
        <v>47</v>
      </c>
      <c r="K34">
        <v>19</v>
      </c>
      <c r="R34" s="4" t="s">
        <v>5</v>
      </c>
      <c r="S34">
        <v>36.323586744639378</v>
      </c>
    </row>
    <row r="35" spans="1:26" x14ac:dyDescent="0.3">
      <c r="J35" s="4" t="s">
        <v>48</v>
      </c>
      <c r="K35">
        <v>14</v>
      </c>
    </row>
    <row r="36" spans="1:26" x14ac:dyDescent="0.3">
      <c r="A36" t="s">
        <v>59</v>
      </c>
      <c r="J36" s="4" t="s">
        <v>49</v>
      </c>
      <c r="K36">
        <v>18</v>
      </c>
    </row>
    <row r="37" spans="1:26" x14ac:dyDescent="0.3">
      <c r="A37" s="1" t="s">
        <v>4</v>
      </c>
      <c r="B37" t="s">
        <v>58</v>
      </c>
      <c r="J37" s="4" t="s">
        <v>5</v>
      </c>
      <c r="K37">
        <v>513</v>
      </c>
    </row>
    <row r="38" spans="1:26" x14ac:dyDescent="0.3">
      <c r="A38" s="4" t="s">
        <v>50</v>
      </c>
      <c r="B38" s="10">
        <v>76</v>
      </c>
    </row>
    <row r="39" spans="1:26" x14ac:dyDescent="0.3">
      <c r="A39" s="4" t="s">
        <v>51</v>
      </c>
      <c r="B39" s="10">
        <v>69</v>
      </c>
    </row>
    <row r="40" spans="1:26" x14ac:dyDescent="0.3">
      <c r="A40" s="4" t="s">
        <v>52</v>
      </c>
      <c r="B40" s="10">
        <v>64</v>
      </c>
    </row>
    <row r="41" spans="1:26" x14ac:dyDescent="0.3">
      <c r="A41" s="4" t="s">
        <v>53</v>
      </c>
      <c r="B41" s="10">
        <v>59</v>
      </c>
    </row>
    <row r="42" spans="1:26" x14ac:dyDescent="0.3">
      <c r="A42" s="4" t="s">
        <v>54</v>
      </c>
      <c r="B42" s="10">
        <v>58</v>
      </c>
    </row>
    <row r="43" spans="1:26" x14ac:dyDescent="0.3">
      <c r="A43" s="4" t="s">
        <v>55</v>
      </c>
      <c r="B43" s="10">
        <v>66</v>
      </c>
    </row>
    <row r="44" spans="1:26" x14ac:dyDescent="0.3">
      <c r="A44" s="4" t="s">
        <v>56</v>
      </c>
      <c r="B44" s="10">
        <v>67</v>
      </c>
    </row>
    <row r="45" spans="1:26" x14ac:dyDescent="0.3">
      <c r="A45" s="4" t="s">
        <v>57</v>
      </c>
      <c r="B45" s="10">
        <v>54</v>
      </c>
    </row>
    <row r="46" spans="1:26" x14ac:dyDescent="0.3">
      <c r="A46" s="4" t="s">
        <v>5</v>
      </c>
      <c r="B46" s="2">
        <v>513</v>
      </c>
    </row>
    <row r="74" spans="1:2" x14ac:dyDescent="0.3">
      <c r="A74" s="1" t="s">
        <v>4</v>
      </c>
      <c r="B74" t="s">
        <v>62</v>
      </c>
    </row>
    <row r="75" spans="1:2" x14ac:dyDescent="0.3">
      <c r="A75" s="4" t="s">
        <v>60</v>
      </c>
      <c r="B75" s="10">
        <v>316</v>
      </c>
    </row>
    <row r="76" spans="1:2" x14ac:dyDescent="0.3">
      <c r="A76" s="4" t="s">
        <v>61</v>
      </c>
      <c r="B76" s="10">
        <v>197</v>
      </c>
    </row>
    <row r="77" spans="1:2" x14ac:dyDescent="0.3">
      <c r="A77" s="4" t="s">
        <v>5</v>
      </c>
      <c r="B77" s="2">
        <v>513</v>
      </c>
    </row>
    <row r="80" spans="1:2" x14ac:dyDescent="0.3">
      <c r="A80" s="4" t="s">
        <v>66</v>
      </c>
    </row>
    <row r="81" spans="1:2" x14ac:dyDescent="0.3">
      <c r="A81" s="1" t="s">
        <v>4</v>
      </c>
      <c r="B81" t="s">
        <v>65</v>
      </c>
    </row>
    <row r="82" spans="1:2" x14ac:dyDescent="0.3">
      <c r="A82" s="4" t="s">
        <v>63</v>
      </c>
      <c r="B82" s="10">
        <v>241</v>
      </c>
    </row>
    <row r="83" spans="1:2" x14ac:dyDescent="0.3">
      <c r="A83" s="4" t="s">
        <v>64</v>
      </c>
      <c r="B83" s="10">
        <v>272</v>
      </c>
    </row>
    <row r="84" spans="1:2" x14ac:dyDescent="0.3">
      <c r="A84" s="4" t="s">
        <v>5</v>
      </c>
      <c r="B84" s="2">
        <v>513</v>
      </c>
    </row>
    <row r="91" spans="1:2" x14ac:dyDescent="0.3">
      <c r="A91" s="1" t="s">
        <v>4</v>
      </c>
      <c r="B91" t="s">
        <v>75</v>
      </c>
    </row>
    <row r="92" spans="1:2" x14ac:dyDescent="0.3">
      <c r="A92" s="4" t="s">
        <v>68</v>
      </c>
      <c r="B92" s="10">
        <v>4</v>
      </c>
    </row>
    <row r="93" spans="1:2" x14ac:dyDescent="0.3">
      <c r="A93" s="4" t="s">
        <v>74</v>
      </c>
      <c r="B93" s="10">
        <v>5</v>
      </c>
    </row>
    <row r="94" spans="1:2" x14ac:dyDescent="0.3">
      <c r="A94" s="4" t="s">
        <v>70</v>
      </c>
      <c r="B94" s="10">
        <v>9</v>
      </c>
    </row>
    <row r="95" spans="1:2" x14ac:dyDescent="0.3">
      <c r="A95" s="4" t="s">
        <v>73</v>
      </c>
      <c r="B95" s="10">
        <v>14</v>
      </c>
    </row>
    <row r="96" spans="1:2" x14ac:dyDescent="0.3">
      <c r="A96" s="4" t="s">
        <v>67</v>
      </c>
      <c r="B96" s="10">
        <v>14</v>
      </c>
    </row>
    <row r="97" spans="1:2" x14ac:dyDescent="0.3">
      <c r="A97" s="4" t="s">
        <v>72</v>
      </c>
      <c r="B97" s="10">
        <v>65</v>
      </c>
    </row>
    <row r="98" spans="1:2" x14ac:dyDescent="0.3">
      <c r="A98" s="4" t="s">
        <v>69</v>
      </c>
      <c r="B98" s="10">
        <v>103</v>
      </c>
    </row>
    <row r="99" spans="1:2" x14ac:dyDescent="0.3">
      <c r="A99" s="4" t="s">
        <v>71</v>
      </c>
      <c r="B99" s="10">
        <v>299</v>
      </c>
    </row>
    <row r="100" spans="1:2" x14ac:dyDescent="0.3">
      <c r="A100" s="4" t="s">
        <v>5</v>
      </c>
      <c r="B100" s="2">
        <v>513</v>
      </c>
    </row>
    <row r="106" spans="1:2" x14ac:dyDescent="0.3">
      <c r="A106" s="1" t="s">
        <v>4</v>
      </c>
    </row>
    <row r="107" spans="1:2" x14ac:dyDescent="0.3">
      <c r="A107" s="4" t="s">
        <v>76</v>
      </c>
    </row>
    <row r="108" spans="1:2" x14ac:dyDescent="0.3">
      <c r="A108"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3E84-3B9D-44D2-96FE-965ED904323B}">
  <dimension ref="A1:V25"/>
  <sheetViews>
    <sheetView tabSelected="1" zoomScale="120" zoomScaleNormal="120" workbookViewId="0">
      <selection activeCell="W7" sqref="W7"/>
    </sheetView>
  </sheetViews>
  <sheetFormatPr defaultRowHeight="14.4" x14ac:dyDescent="0.3"/>
  <sheetData>
    <row r="1" spans="1:22" x14ac:dyDescent="0.3">
      <c r="A1" s="3"/>
      <c r="B1" s="3"/>
      <c r="C1" s="3"/>
      <c r="D1" s="3"/>
      <c r="E1" s="3"/>
      <c r="F1" s="3"/>
      <c r="G1" s="3"/>
      <c r="H1" s="3"/>
      <c r="I1" s="3"/>
      <c r="J1" s="3"/>
      <c r="K1" s="3"/>
      <c r="L1" s="3"/>
      <c r="M1" s="3"/>
      <c r="N1" s="3"/>
      <c r="O1" s="3"/>
      <c r="P1" s="3"/>
      <c r="Q1" s="3"/>
      <c r="R1" s="3"/>
      <c r="S1" s="3"/>
      <c r="T1" s="3"/>
      <c r="U1" s="3"/>
      <c r="V1" s="3"/>
    </row>
    <row r="2" spans="1:22" x14ac:dyDescent="0.3">
      <c r="A2" s="3"/>
      <c r="B2" s="3"/>
      <c r="C2" s="3"/>
      <c r="D2" s="3"/>
      <c r="E2" s="3"/>
      <c r="F2" s="3"/>
      <c r="G2" s="3"/>
      <c r="H2" s="3"/>
      <c r="I2" s="3"/>
      <c r="J2" s="3"/>
      <c r="K2" s="3"/>
      <c r="L2" s="3"/>
      <c r="M2" s="3"/>
      <c r="N2" s="3"/>
      <c r="O2" s="3"/>
      <c r="P2" s="3"/>
      <c r="Q2" s="3"/>
      <c r="R2" s="3"/>
      <c r="S2" s="3"/>
      <c r="T2" s="3"/>
      <c r="U2" s="3"/>
      <c r="V2" s="3"/>
    </row>
    <row r="3" spans="1:22" x14ac:dyDescent="0.3">
      <c r="A3" s="3"/>
      <c r="B3" s="3"/>
      <c r="C3" s="3"/>
      <c r="D3" s="3"/>
      <c r="E3" s="3"/>
      <c r="F3" s="3"/>
      <c r="G3" s="3"/>
      <c r="H3" s="3"/>
      <c r="I3" s="3"/>
      <c r="J3" s="3"/>
      <c r="K3" s="3"/>
      <c r="L3" s="3"/>
      <c r="M3" s="3"/>
      <c r="N3" s="3"/>
      <c r="O3" s="3"/>
      <c r="P3" s="3"/>
      <c r="Q3" s="3"/>
      <c r="R3" s="3"/>
      <c r="S3" s="3"/>
      <c r="T3" s="3"/>
      <c r="U3" s="3"/>
      <c r="V3" s="3"/>
    </row>
    <row r="4" spans="1:22" x14ac:dyDescent="0.3">
      <c r="A4" s="3"/>
      <c r="B4" s="3"/>
      <c r="C4" s="3"/>
      <c r="D4" s="3"/>
      <c r="E4" s="3"/>
      <c r="F4" s="3"/>
      <c r="G4" s="3"/>
      <c r="H4" s="3"/>
      <c r="I4" s="3"/>
      <c r="J4" s="3"/>
      <c r="K4" s="3"/>
      <c r="L4" s="3"/>
      <c r="M4" s="3"/>
      <c r="N4" s="3"/>
      <c r="O4" s="3"/>
      <c r="P4" s="3"/>
      <c r="Q4" s="3"/>
      <c r="R4" s="3"/>
      <c r="S4" s="3"/>
      <c r="T4" s="3"/>
      <c r="U4" s="3"/>
      <c r="V4" s="3"/>
    </row>
    <row r="5" spans="1:22" x14ac:dyDescent="0.3">
      <c r="A5" s="3"/>
      <c r="B5" s="3"/>
      <c r="C5" s="3"/>
      <c r="D5" s="3"/>
      <c r="E5" s="3"/>
      <c r="F5" s="3"/>
      <c r="G5" s="3"/>
      <c r="H5" s="3"/>
      <c r="I5" s="3"/>
      <c r="J5" s="3"/>
      <c r="K5" s="3"/>
      <c r="L5" s="3"/>
      <c r="M5" s="3"/>
      <c r="N5" s="3"/>
      <c r="O5" s="3"/>
      <c r="P5" s="3"/>
      <c r="Q5" s="3"/>
      <c r="R5" s="3"/>
      <c r="S5" s="3"/>
      <c r="T5" s="3"/>
      <c r="U5" s="3"/>
      <c r="V5" s="3"/>
    </row>
    <row r="6" spans="1:22" x14ac:dyDescent="0.3">
      <c r="A6" s="3"/>
      <c r="B6" s="3"/>
      <c r="C6" s="3"/>
      <c r="D6" s="3"/>
      <c r="E6" s="3"/>
      <c r="F6" s="3"/>
      <c r="G6" s="3"/>
      <c r="H6" s="3"/>
      <c r="I6" s="3"/>
      <c r="J6" s="3"/>
      <c r="K6" s="3"/>
      <c r="L6" s="3"/>
      <c r="M6" s="3"/>
      <c r="N6" s="3"/>
      <c r="O6" s="3"/>
      <c r="P6" s="3"/>
      <c r="Q6" s="3"/>
      <c r="R6" s="3"/>
      <c r="S6" s="3"/>
      <c r="T6" s="3"/>
      <c r="U6" s="3"/>
      <c r="V6" s="3"/>
    </row>
    <row r="7" spans="1:22" x14ac:dyDescent="0.3">
      <c r="A7" s="3"/>
      <c r="B7" s="3"/>
      <c r="C7" s="3"/>
      <c r="D7" s="3"/>
      <c r="E7" s="3"/>
      <c r="F7" s="3"/>
      <c r="G7" s="3"/>
      <c r="H7" s="3"/>
      <c r="I7" s="3"/>
      <c r="J7" s="3"/>
      <c r="K7" s="3"/>
      <c r="L7" s="3"/>
      <c r="M7" s="3"/>
      <c r="N7" s="3"/>
      <c r="O7" s="3"/>
      <c r="P7" s="3"/>
      <c r="Q7" s="3"/>
      <c r="R7" s="3"/>
      <c r="S7" s="3"/>
      <c r="T7" s="3"/>
      <c r="U7" s="3"/>
      <c r="V7" s="3"/>
    </row>
    <row r="8" spans="1:22" x14ac:dyDescent="0.3">
      <c r="A8" s="3"/>
      <c r="B8" s="3"/>
      <c r="C8" s="3"/>
      <c r="D8" s="3"/>
      <c r="E8" s="3"/>
      <c r="F8" s="3"/>
      <c r="G8" s="3"/>
      <c r="H8" s="3"/>
      <c r="I8" s="3"/>
      <c r="J8" s="3"/>
      <c r="K8" s="3"/>
      <c r="L8" s="3"/>
      <c r="M8" s="3"/>
      <c r="N8" s="3"/>
      <c r="O8" s="3"/>
      <c r="P8" s="3"/>
      <c r="Q8" s="3"/>
      <c r="R8" s="3"/>
      <c r="S8" s="3"/>
      <c r="T8" s="3"/>
      <c r="U8" s="3"/>
      <c r="V8" s="3"/>
    </row>
    <row r="9" spans="1:22" x14ac:dyDescent="0.3">
      <c r="A9" s="3"/>
      <c r="B9" s="3"/>
      <c r="C9" s="3"/>
      <c r="D9" s="3"/>
      <c r="E9" s="3"/>
      <c r="F9" s="3"/>
      <c r="G9" s="3"/>
      <c r="H9" s="3"/>
      <c r="I9" s="3"/>
      <c r="J9" s="3"/>
      <c r="K9" s="3"/>
      <c r="L9" s="3"/>
      <c r="M9" s="3"/>
      <c r="N9" s="3"/>
      <c r="O9" s="3"/>
      <c r="P9" s="3"/>
      <c r="Q9" s="3"/>
      <c r="R9" s="3"/>
      <c r="S9" s="3"/>
      <c r="T9" s="3"/>
      <c r="U9" s="3"/>
      <c r="V9" s="3"/>
    </row>
    <row r="10" spans="1:22" x14ac:dyDescent="0.3">
      <c r="A10" s="3"/>
      <c r="B10" s="3"/>
      <c r="C10" s="3"/>
      <c r="D10" s="3"/>
      <c r="E10" s="3"/>
      <c r="F10" s="3"/>
      <c r="G10" s="3"/>
      <c r="H10" s="3"/>
      <c r="I10" s="3"/>
      <c r="J10" s="3"/>
      <c r="K10" s="3"/>
      <c r="L10" s="3"/>
      <c r="M10" s="3"/>
      <c r="N10" s="3"/>
      <c r="O10" s="3"/>
      <c r="P10" s="3"/>
      <c r="Q10" s="3"/>
      <c r="R10" s="3"/>
      <c r="S10" s="3"/>
      <c r="T10" s="3"/>
      <c r="U10" s="3"/>
      <c r="V10" s="3"/>
    </row>
    <row r="11" spans="1:22" x14ac:dyDescent="0.3">
      <c r="A11" s="3"/>
      <c r="B11" s="3"/>
      <c r="C11" s="3"/>
      <c r="D11" s="3"/>
      <c r="E11" s="3"/>
      <c r="F11" s="3"/>
      <c r="G11" s="3"/>
      <c r="H11" s="3"/>
      <c r="I11" s="3"/>
      <c r="J11" s="3"/>
      <c r="K11" s="3"/>
      <c r="L11" s="3"/>
      <c r="M11" s="3"/>
      <c r="N11" s="3"/>
      <c r="O11" s="3"/>
      <c r="P11" s="3"/>
      <c r="Q11" s="3"/>
      <c r="R11" s="3"/>
      <c r="S11" s="3"/>
      <c r="T11" s="3"/>
      <c r="U11" s="3"/>
      <c r="V11" s="3"/>
    </row>
    <row r="12" spans="1:22" x14ac:dyDescent="0.3">
      <c r="A12" s="3"/>
      <c r="B12" s="3"/>
      <c r="C12" s="3"/>
      <c r="D12" s="3"/>
      <c r="E12" s="3"/>
      <c r="F12" s="3"/>
      <c r="G12" s="3"/>
      <c r="H12" s="3"/>
      <c r="I12" s="3"/>
      <c r="J12" s="3"/>
      <c r="K12" s="3"/>
      <c r="L12" s="3"/>
      <c r="M12" s="3"/>
      <c r="N12" s="3"/>
      <c r="O12" s="3"/>
      <c r="P12" s="3"/>
      <c r="Q12" s="3"/>
      <c r="R12" s="3"/>
      <c r="S12" s="3"/>
      <c r="T12" s="3"/>
      <c r="U12" s="3"/>
      <c r="V12" s="3"/>
    </row>
    <row r="13" spans="1:22" x14ac:dyDescent="0.3">
      <c r="A13" s="3"/>
      <c r="B13" s="3"/>
      <c r="C13" s="3"/>
      <c r="D13" s="3"/>
      <c r="E13" s="3"/>
      <c r="F13" s="3"/>
      <c r="G13" s="3"/>
      <c r="H13" s="3"/>
      <c r="I13" s="3"/>
      <c r="J13" s="3"/>
      <c r="K13" s="3"/>
      <c r="L13" s="3"/>
      <c r="M13" s="3"/>
      <c r="N13" s="3"/>
      <c r="O13" s="3"/>
      <c r="P13" s="3"/>
      <c r="Q13" s="3"/>
      <c r="R13" s="3"/>
      <c r="S13" s="3"/>
      <c r="T13" s="3"/>
      <c r="U13" s="3"/>
      <c r="V13" s="3"/>
    </row>
    <row r="14" spans="1:22" x14ac:dyDescent="0.3">
      <c r="A14" s="3"/>
      <c r="B14" s="3"/>
      <c r="C14" s="3"/>
      <c r="D14" s="3"/>
      <c r="E14" s="3"/>
      <c r="F14" s="3"/>
      <c r="G14" s="3"/>
      <c r="H14" s="3"/>
      <c r="I14" s="3"/>
      <c r="J14" s="3"/>
      <c r="K14" s="3"/>
      <c r="L14" s="3"/>
      <c r="M14" s="3"/>
      <c r="N14" s="3"/>
      <c r="O14" s="3"/>
      <c r="P14" s="3"/>
      <c r="Q14" s="3"/>
      <c r="R14" s="3"/>
      <c r="S14" s="3"/>
      <c r="T14" s="3"/>
      <c r="U14" s="3"/>
      <c r="V14" s="3"/>
    </row>
    <row r="15" spans="1:22" x14ac:dyDescent="0.3">
      <c r="A15" s="3"/>
      <c r="B15" s="3"/>
      <c r="C15" s="3"/>
      <c r="D15" s="3"/>
      <c r="E15" s="3"/>
      <c r="F15" s="3"/>
      <c r="G15" s="3"/>
      <c r="H15" s="3"/>
      <c r="I15" s="3"/>
      <c r="J15" s="3"/>
      <c r="K15" s="3"/>
      <c r="L15" s="3"/>
      <c r="M15" s="3"/>
      <c r="N15" s="3"/>
      <c r="O15" s="3"/>
      <c r="P15" s="3"/>
      <c r="Q15" s="3"/>
      <c r="R15" s="3"/>
      <c r="S15" s="3"/>
      <c r="T15" s="3"/>
      <c r="U15" s="3"/>
      <c r="V15" s="3"/>
    </row>
    <row r="16" spans="1:22" x14ac:dyDescent="0.3">
      <c r="A16" s="3"/>
      <c r="B16" s="3"/>
      <c r="C16" s="3"/>
      <c r="D16" s="3"/>
      <c r="E16" s="3"/>
      <c r="F16" s="3"/>
      <c r="G16" s="3"/>
      <c r="H16" s="3"/>
      <c r="I16" s="3"/>
      <c r="J16" s="3"/>
      <c r="K16" s="3"/>
      <c r="L16" s="3"/>
      <c r="M16" s="3"/>
      <c r="N16" s="3"/>
      <c r="O16" s="3"/>
      <c r="P16" s="3"/>
      <c r="Q16" s="3"/>
      <c r="R16" s="3"/>
      <c r="S16" s="3"/>
      <c r="T16" s="3"/>
      <c r="U16" s="3"/>
      <c r="V16" s="3"/>
    </row>
    <row r="17" spans="1:22" x14ac:dyDescent="0.3">
      <c r="A17" s="3"/>
      <c r="B17" s="3"/>
      <c r="C17" s="3"/>
      <c r="D17" s="3"/>
      <c r="E17" s="3"/>
      <c r="F17" s="3"/>
      <c r="G17" s="3"/>
      <c r="H17" s="3"/>
      <c r="I17" s="3"/>
      <c r="J17" s="3"/>
      <c r="K17" s="3"/>
      <c r="L17" s="3"/>
      <c r="M17" s="3"/>
      <c r="N17" s="3"/>
      <c r="O17" s="3"/>
      <c r="P17" s="3"/>
      <c r="Q17" s="3"/>
      <c r="R17" s="3"/>
      <c r="S17" s="3"/>
      <c r="T17" s="3"/>
      <c r="U17" s="3"/>
      <c r="V17" s="3"/>
    </row>
    <row r="18" spans="1:22" x14ac:dyDescent="0.3">
      <c r="A18" s="3"/>
      <c r="B18" s="3"/>
      <c r="C18" s="3"/>
      <c r="D18" s="3"/>
      <c r="E18" s="3"/>
      <c r="F18" s="3"/>
      <c r="G18" s="3"/>
      <c r="H18" s="3"/>
      <c r="I18" s="3"/>
      <c r="J18" s="3"/>
      <c r="K18" s="3"/>
      <c r="L18" s="3"/>
      <c r="M18" s="3"/>
      <c r="N18" s="3"/>
      <c r="O18" s="3"/>
      <c r="P18" s="3"/>
      <c r="Q18" s="3"/>
      <c r="R18" s="3"/>
      <c r="S18" s="3"/>
      <c r="T18" s="3"/>
      <c r="U18" s="3"/>
      <c r="V18" s="3"/>
    </row>
    <row r="19" spans="1:22" x14ac:dyDescent="0.3">
      <c r="A19" s="3"/>
      <c r="B19" s="3"/>
      <c r="C19" s="3"/>
      <c r="D19" s="3"/>
      <c r="E19" s="3"/>
      <c r="F19" s="3"/>
      <c r="G19" s="3"/>
      <c r="H19" s="3"/>
      <c r="I19" s="3"/>
      <c r="J19" s="3"/>
      <c r="K19" s="3"/>
      <c r="L19" s="3"/>
      <c r="M19" s="3"/>
      <c r="N19" s="3"/>
      <c r="O19" s="3"/>
      <c r="P19" s="3"/>
      <c r="Q19" s="3"/>
      <c r="R19" s="3"/>
      <c r="S19" s="3"/>
      <c r="T19" s="3"/>
      <c r="U19" s="3"/>
      <c r="V19" s="3"/>
    </row>
    <row r="20" spans="1:22" x14ac:dyDescent="0.3">
      <c r="A20" s="3"/>
      <c r="B20" s="3"/>
      <c r="C20" s="3"/>
      <c r="D20" s="3"/>
      <c r="E20" s="3"/>
      <c r="F20" s="3"/>
      <c r="G20" s="3"/>
      <c r="H20" s="3"/>
      <c r="I20" s="3"/>
      <c r="J20" s="3"/>
      <c r="K20" s="3"/>
      <c r="L20" s="3"/>
      <c r="M20" s="3"/>
      <c r="N20" s="3"/>
      <c r="O20" s="3"/>
      <c r="P20" s="3"/>
      <c r="Q20" s="3"/>
      <c r="R20" s="3"/>
      <c r="S20" s="3"/>
      <c r="T20" s="3"/>
      <c r="U20" s="3"/>
      <c r="V20" s="3"/>
    </row>
    <row r="21" spans="1:22" x14ac:dyDescent="0.3">
      <c r="A21" s="3"/>
      <c r="B21" s="3"/>
      <c r="C21" s="3"/>
      <c r="D21" s="3"/>
      <c r="E21" s="3"/>
      <c r="F21" s="3"/>
      <c r="G21" s="3"/>
      <c r="H21" s="3"/>
      <c r="I21" s="3"/>
      <c r="J21" s="3"/>
      <c r="K21" s="3"/>
      <c r="L21" s="3"/>
      <c r="M21" s="3"/>
      <c r="N21" s="3"/>
      <c r="O21" s="3"/>
      <c r="P21" s="3"/>
      <c r="Q21" s="3"/>
      <c r="R21" s="3"/>
      <c r="S21" s="3"/>
      <c r="T21" s="3"/>
      <c r="U21" s="3"/>
      <c r="V21" s="3"/>
    </row>
    <row r="22" spans="1:22" x14ac:dyDescent="0.3">
      <c r="A22" s="3"/>
      <c r="B22" s="3"/>
      <c r="C22" s="3"/>
      <c r="D22" s="3"/>
      <c r="E22" s="3"/>
      <c r="F22" s="3"/>
      <c r="G22" s="3"/>
      <c r="H22" s="3"/>
      <c r="I22" s="3"/>
      <c r="J22" s="3"/>
      <c r="K22" s="3"/>
      <c r="L22" s="3"/>
      <c r="M22" s="3"/>
      <c r="N22" s="3"/>
      <c r="O22" s="3"/>
      <c r="P22" s="3"/>
      <c r="Q22" s="3"/>
      <c r="R22" s="3"/>
      <c r="S22" s="3"/>
      <c r="T22" s="3"/>
      <c r="U22" s="3"/>
      <c r="V22" s="3"/>
    </row>
    <row r="23" spans="1:22" x14ac:dyDescent="0.3">
      <c r="A23" s="3"/>
      <c r="B23" s="3"/>
      <c r="C23" s="3"/>
      <c r="D23" s="3"/>
      <c r="E23" s="3"/>
      <c r="F23" s="3"/>
      <c r="G23" s="3"/>
      <c r="H23" s="3"/>
      <c r="I23" s="3"/>
      <c r="J23" s="3"/>
      <c r="K23" s="3"/>
      <c r="L23" s="3"/>
      <c r="M23" s="3"/>
      <c r="N23" s="3"/>
      <c r="O23" s="3"/>
      <c r="P23" s="3"/>
      <c r="Q23" s="3"/>
      <c r="R23" s="3"/>
      <c r="S23" s="3"/>
      <c r="T23" s="3"/>
      <c r="U23" s="3"/>
      <c r="V23" s="3"/>
    </row>
    <row r="24" spans="1:22" x14ac:dyDescent="0.3">
      <c r="A24" s="3"/>
      <c r="B24" s="3"/>
      <c r="C24" s="3"/>
      <c r="D24" s="3"/>
      <c r="E24" s="3"/>
      <c r="F24" s="3"/>
      <c r="G24" s="3"/>
      <c r="H24" s="3"/>
      <c r="I24" s="3"/>
      <c r="J24" s="3"/>
      <c r="K24" s="3"/>
      <c r="L24" s="3"/>
      <c r="M24" s="3"/>
      <c r="N24" s="3"/>
      <c r="O24" s="3"/>
      <c r="P24" s="3"/>
      <c r="Q24" s="3"/>
      <c r="R24" s="3"/>
      <c r="S24" s="3"/>
      <c r="T24" s="3"/>
      <c r="U24" s="3"/>
      <c r="V24" s="3"/>
    </row>
    <row r="25" spans="1:22" x14ac:dyDescent="0.3">
      <c r="A25" s="3"/>
      <c r="B25" s="3"/>
      <c r="C25" s="3"/>
      <c r="D25" s="3"/>
      <c r="E25" s="3"/>
      <c r="F25" s="3"/>
      <c r="G25" s="3"/>
      <c r="H25" s="3"/>
      <c r="I25" s="3"/>
      <c r="J25" s="3"/>
      <c r="K25" s="3"/>
      <c r="L25" s="3"/>
      <c r="M25" s="3"/>
      <c r="N25" s="3"/>
      <c r="O25" s="3"/>
      <c r="P25" s="3"/>
      <c r="Q25" s="3"/>
      <c r="R25" s="3"/>
      <c r="S25" s="3"/>
      <c r="T25" s="3"/>
      <c r="U25" s="3"/>
      <c r="V25"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EF04E-98B5-4F87-9079-21A79F39476B}">
  <dimension ref="A1:R25"/>
  <sheetViews>
    <sheetView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Q4" s="5"/>
      <c r="R4" s="5"/>
    </row>
    <row r="5" spans="1:18" x14ac:dyDescent="0.3">
      <c r="A5" s="5"/>
      <c r="B5" s="5"/>
      <c r="Q5" s="5"/>
      <c r="R5" s="5"/>
    </row>
    <row r="6" spans="1:18" x14ac:dyDescent="0.3">
      <c r="A6" s="5"/>
      <c r="B6" s="5"/>
      <c r="Q6" s="5"/>
      <c r="R6" s="5"/>
    </row>
    <row r="7" spans="1:18" x14ac:dyDescent="0.3">
      <c r="A7" s="5"/>
      <c r="B7" s="5"/>
      <c r="Q7" s="5"/>
      <c r="R7" s="5"/>
    </row>
    <row r="8" spans="1:18" x14ac:dyDescent="0.3">
      <c r="A8" s="5"/>
      <c r="B8" s="5"/>
      <c r="Q8" s="5"/>
      <c r="R8" s="5"/>
    </row>
    <row r="9" spans="1:18" x14ac:dyDescent="0.3">
      <c r="A9" s="5"/>
      <c r="B9" s="5"/>
      <c r="Q9" s="5"/>
      <c r="R9" s="5"/>
    </row>
    <row r="10" spans="1:18" x14ac:dyDescent="0.3">
      <c r="A10" s="5"/>
      <c r="B10" s="5"/>
      <c r="Q10" s="5"/>
      <c r="R10" s="5"/>
    </row>
    <row r="11" spans="1:18" x14ac:dyDescent="0.3">
      <c r="A11" s="5"/>
      <c r="B11" s="5"/>
      <c r="Q11" s="5"/>
      <c r="R11" s="5"/>
    </row>
    <row r="12" spans="1:18" x14ac:dyDescent="0.3">
      <c r="A12" s="5"/>
      <c r="B12" s="5"/>
      <c r="Q12" s="5"/>
      <c r="R12" s="5"/>
    </row>
    <row r="13" spans="1:18" x14ac:dyDescent="0.3">
      <c r="A13" s="5"/>
      <c r="B13" s="5"/>
      <c r="Q13" s="5"/>
      <c r="R13" s="5"/>
    </row>
    <row r="14" spans="1:18" x14ac:dyDescent="0.3">
      <c r="A14" s="5"/>
      <c r="B14" s="5"/>
      <c r="Q14" s="5"/>
      <c r="R14" s="5"/>
    </row>
    <row r="15" spans="1:18" x14ac:dyDescent="0.3">
      <c r="A15" s="5"/>
      <c r="B15" s="5"/>
      <c r="Q15" s="5"/>
      <c r="R15" s="5"/>
    </row>
    <row r="16" spans="1:18" x14ac:dyDescent="0.3">
      <c r="A16" s="5"/>
      <c r="B16" s="5"/>
      <c r="Q16" s="5"/>
      <c r="R16" s="5"/>
    </row>
    <row r="17" spans="1:18" x14ac:dyDescent="0.3">
      <c r="A17" s="5"/>
      <c r="B17" s="5"/>
      <c r="Q17" s="5"/>
      <c r="R17" s="5"/>
    </row>
    <row r="18" spans="1:18" x14ac:dyDescent="0.3">
      <c r="A18" s="5"/>
      <c r="B18" s="5"/>
      <c r="Q18" s="5"/>
      <c r="R18" s="5"/>
    </row>
    <row r="19" spans="1:18" x14ac:dyDescent="0.3">
      <c r="A19" s="5"/>
      <c r="B19" s="5"/>
      <c r="Q19" s="5"/>
      <c r="R19" s="5"/>
    </row>
    <row r="20" spans="1:18" x14ac:dyDescent="0.3">
      <c r="A20" s="5"/>
      <c r="B20" s="5"/>
      <c r="Q20" s="5"/>
      <c r="R20" s="5"/>
    </row>
    <row r="21" spans="1:18" x14ac:dyDescent="0.3">
      <c r="A21" s="5"/>
      <c r="B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ht="18" x14ac:dyDescent="0.35">
      <c r="A24" s="5"/>
      <c r="B24" s="5"/>
      <c r="C24" s="5"/>
      <c r="D24" s="5"/>
      <c r="E24" s="7" t="s">
        <v>6</v>
      </c>
      <c r="F24" s="5"/>
      <c r="G24" s="5"/>
      <c r="H24" s="6"/>
      <c r="I24" s="6"/>
      <c r="J24" s="6"/>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D4A29-4DFC-49F5-A54B-82640AD03065}">
  <dimension ref="A1:U38"/>
  <sheetViews>
    <sheetView workbookViewId="0">
      <selection activeCell="I36" sqref="I36"/>
    </sheetView>
  </sheetViews>
  <sheetFormatPr defaultRowHeight="14.4" x14ac:dyDescent="0.3"/>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P4" s="5"/>
      <c r="Q4" s="5"/>
      <c r="R4" s="5"/>
      <c r="S4" s="5"/>
      <c r="T4" s="5"/>
      <c r="U4" s="5"/>
    </row>
    <row r="5" spans="1:21" x14ac:dyDescent="0.3">
      <c r="A5" s="5"/>
      <c r="B5" s="5"/>
      <c r="P5" s="5"/>
      <c r="Q5" s="5"/>
      <c r="R5" s="5"/>
      <c r="S5" s="5"/>
      <c r="T5" s="5"/>
      <c r="U5" s="5"/>
    </row>
    <row r="6" spans="1:21" x14ac:dyDescent="0.3">
      <c r="A6" s="5"/>
      <c r="B6" s="5"/>
      <c r="P6" s="5"/>
      <c r="Q6" s="5"/>
      <c r="R6" s="5"/>
      <c r="S6" s="5"/>
      <c r="T6" s="5"/>
      <c r="U6" s="5"/>
    </row>
    <row r="7" spans="1:21" x14ac:dyDescent="0.3">
      <c r="A7" s="5"/>
      <c r="B7" s="5"/>
      <c r="P7" s="5"/>
      <c r="Q7" s="5"/>
      <c r="R7" s="5"/>
      <c r="S7" s="5"/>
      <c r="T7" s="5"/>
      <c r="U7" s="5"/>
    </row>
    <row r="8" spans="1:21" x14ac:dyDescent="0.3">
      <c r="A8" s="5"/>
      <c r="B8" s="5"/>
      <c r="P8" s="5"/>
      <c r="Q8" s="5"/>
      <c r="R8" s="5"/>
      <c r="S8" s="5"/>
      <c r="T8" s="5"/>
      <c r="U8" s="5"/>
    </row>
    <row r="9" spans="1:21" x14ac:dyDescent="0.3">
      <c r="A9" s="5"/>
      <c r="B9" s="5"/>
      <c r="P9" s="5"/>
      <c r="Q9" s="5"/>
      <c r="R9" s="5"/>
      <c r="S9" s="5"/>
      <c r="T9" s="5"/>
      <c r="U9" s="5"/>
    </row>
    <row r="10" spans="1:21" x14ac:dyDescent="0.3">
      <c r="A10" s="5"/>
      <c r="B10" s="5"/>
      <c r="P10" s="5"/>
      <c r="Q10" s="5"/>
      <c r="R10" s="5"/>
      <c r="S10" s="5"/>
      <c r="T10" s="5"/>
      <c r="U10" s="5"/>
    </row>
    <row r="11" spans="1:21" x14ac:dyDescent="0.3">
      <c r="A11" s="5"/>
      <c r="B11" s="5"/>
      <c r="P11" s="5"/>
      <c r="Q11" s="5"/>
      <c r="R11" s="5"/>
      <c r="S11" s="5"/>
      <c r="T11" s="5"/>
      <c r="U11" s="5"/>
    </row>
    <row r="12" spans="1:21" x14ac:dyDescent="0.3">
      <c r="A12" s="5"/>
      <c r="B12" s="5"/>
      <c r="P12" s="5"/>
      <c r="Q12" s="5"/>
      <c r="R12" s="5"/>
      <c r="S12" s="5"/>
      <c r="T12" s="5"/>
      <c r="U12" s="5"/>
    </row>
    <row r="13" spans="1:21" x14ac:dyDescent="0.3">
      <c r="A13" s="5"/>
      <c r="B13" s="5"/>
      <c r="P13" s="5"/>
      <c r="Q13" s="5"/>
      <c r="R13" s="5"/>
      <c r="S13" s="5"/>
      <c r="T13" s="5"/>
      <c r="U13" s="5"/>
    </row>
    <row r="14" spans="1:21" x14ac:dyDescent="0.3">
      <c r="A14" s="5"/>
      <c r="B14" s="5"/>
      <c r="P14" s="5"/>
      <c r="Q14" s="5"/>
      <c r="R14" s="5"/>
      <c r="S14" s="5"/>
      <c r="T14" s="5"/>
      <c r="U14" s="5"/>
    </row>
    <row r="15" spans="1:21" x14ac:dyDescent="0.3">
      <c r="A15" s="5"/>
      <c r="B15" s="5"/>
      <c r="P15" s="5"/>
      <c r="Q15" s="5"/>
      <c r="R15" s="5"/>
      <c r="S15" s="5"/>
      <c r="T15" s="5"/>
      <c r="U15" s="5"/>
    </row>
    <row r="16" spans="1:21" x14ac:dyDescent="0.3">
      <c r="A16" s="5"/>
      <c r="B16" s="5"/>
      <c r="P16" s="5"/>
      <c r="Q16" s="5"/>
      <c r="R16" s="5"/>
      <c r="S16" s="5"/>
      <c r="T16" s="5"/>
      <c r="U16" s="5"/>
    </row>
    <row r="17" spans="1:21" x14ac:dyDescent="0.3">
      <c r="A17" s="5"/>
      <c r="B17" s="5"/>
      <c r="P17" s="5"/>
      <c r="Q17" s="5"/>
      <c r="R17" s="5"/>
      <c r="S17" s="5"/>
      <c r="T17" s="5"/>
      <c r="U17" s="5"/>
    </row>
    <row r="18" spans="1:21" x14ac:dyDescent="0.3">
      <c r="A18" s="5"/>
      <c r="B18" s="5"/>
      <c r="P18" s="5"/>
      <c r="Q18" s="5"/>
      <c r="R18" s="5"/>
      <c r="S18" s="5"/>
      <c r="T18" s="5"/>
      <c r="U18" s="5"/>
    </row>
    <row r="19" spans="1:21" x14ac:dyDescent="0.3">
      <c r="A19" s="5"/>
      <c r="B19" s="5"/>
      <c r="P19" s="5"/>
      <c r="Q19" s="5"/>
      <c r="R19" s="5"/>
      <c r="S19" s="5"/>
      <c r="T19" s="5"/>
      <c r="U19" s="5"/>
    </row>
    <row r="20" spans="1:21" x14ac:dyDescent="0.3">
      <c r="A20" s="5"/>
      <c r="B20" s="5"/>
      <c r="P20" s="5"/>
      <c r="Q20" s="5"/>
      <c r="R20" s="5"/>
      <c r="S20" s="5"/>
      <c r="T20" s="5"/>
      <c r="U20" s="5"/>
    </row>
    <row r="21" spans="1:21" x14ac:dyDescent="0.3">
      <c r="A21" s="5"/>
      <c r="B21" s="5"/>
      <c r="P21" s="5"/>
      <c r="Q21" s="5"/>
      <c r="R21" s="5"/>
      <c r="S21" s="5"/>
      <c r="T21" s="5"/>
      <c r="U21" s="5"/>
    </row>
    <row r="22" spans="1:21" x14ac:dyDescent="0.3">
      <c r="A22" s="5"/>
      <c r="B22" s="5"/>
      <c r="P22" s="5"/>
      <c r="Q22" s="5"/>
      <c r="R22" s="5"/>
      <c r="S22" s="5"/>
      <c r="T22" s="5"/>
      <c r="U22" s="5"/>
    </row>
    <row r="23" spans="1:21" x14ac:dyDescent="0.3">
      <c r="A23" s="5"/>
      <c r="B23" s="5"/>
      <c r="P23" s="5"/>
      <c r="Q23" s="5"/>
      <c r="R23" s="5"/>
      <c r="S23" s="5"/>
      <c r="T23" s="5"/>
      <c r="U23" s="5"/>
    </row>
    <row r="24" spans="1:21" x14ac:dyDescent="0.3">
      <c r="A24" s="5"/>
      <c r="B24" s="5"/>
      <c r="P24" s="5"/>
      <c r="Q24" s="5"/>
      <c r="R24" s="5"/>
      <c r="S24" s="5"/>
      <c r="T24" s="5"/>
      <c r="U24" s="5"/>
    </row>
    <row r="25" spans="1:21" x14ac:dyDescent="0.3">
      <c r="A25" s="5"/>
      <c r="B25" s="5"/>
      <c r="P25" s="5"/>
      <c r="Q25" s="5"/>
      <c r="R25" s="5"/>
      <c r="S25" s="5"/>
      <c r="T25" s="5"/>
      <c r="U25" s="5"/>
    </row>
    <row r="26" spans="1:21" x14ac:dyDescent="0.3">
      <c r="A26" s="5"/>
      <c r="B26" s="5"/>
      <c r="P26" s="5"/>
      <c r="Q26" s="5"/>
      <c r="R26" s="5"/>
      <c r="S26" s="5"/>
      <c r="T26" s="5"/>
      <c r="U26" s="5"/>
    </row>
    <row r="27" spans="1:21" x14ac:dyDescent="0.3">
      <c r="A27" s="5"/>
      <c r="B27" s="5"/>
      <c r="C27" s="5"/>
      <c r="P27" s="5"/>
      <c r="Q27" s="5"/>
      <c r="R27" s="5"/>
      <c r="S27" s="5"/>
      <c r="T27" s="5"/>
      <c r="U27" s="5"/>
    </row>
    <row r="28" spans="1:21" x14ac:dyDescent="0.3">
      <c r="A28" s="5"/>
      <c r="B28" s="5"/>
      <c r="C28" s="5"/>
      <c r="P28" s="5"/>
      <c r="Q28" s="5"/>
      <c r="R28" s="5"/>
      <c r="S28" s="5"/>
      <c r="T28" s="5"/>
      <c r="U28" s="5"/>
    </row>
    <row r="29" spans="1:21" x14ac:dyDescent="0.3">
      <c r="A29" s="5"/>
      <c r="B29" s="5"/>
      <c r="C29" s="5"/>
      <c r="P29" s="5"/>
      <c r="Q29" s="5"/>
      <c r="R29" s="5"/>
      <c r="S29" s="5"/>
      <c r="T29" s="5"/>
      <c r="U29" s="5"/>
    </row>
    <row r="30" spans="1:21" x14ac:dyDescent="0.3">
      <c r="A30" s="5"/>
      <c r="B30" s="5"/>
      <c r="C30" s="5"/>
      <c r="P30" s="5"/>
      <c r="Q30" s="5"/>
      <c r="R30" s="5"/>
      <c r="S30" s="5"/>
      <c r="T30" s="5"/>
      <c r="U30" s="5"/>
    </row>
    <row r="31" spans="1:21" x14ac:dyDescent="0.3">
      <c r="A31" s="5"/>
      <c r="B31" s="5"/>
      <c r="C31" s="5"/>
      <c r="D31" s="5"/>
      <c r="E31" s="5"/>
      <c r="F31" s="5"/>
      <c r="G31" s="5"/>
      <c r="H31" s="5"/>
      <c r="I31" s="5"/>
      <c r="J31" s="5"/>
      <c r="K31" s="5"/>
      <c r="L31" s="5"/>
      <c r="M31" s="5"/>
      <c r="N31" s="5"/>
      <c r="O31" s="5"/>
      <c r="P31" s="5"/>
      <c r="Q31" s="5"/>
      <c r="R31" s="5"/>
      <c r="S31" s="5"/>
      <c r="T31" s="5"/>
      <c r="U31" s="5"/>
    </row>
    <row r="32" spans="1:21" x14ac:dyDescent="0.3">
      <c r="A32" s="5"/>
      <c r="B32" s="5"/>
      <c r="C32" s="5"/>
      <c r="D32" s="5"/>
      <c r="E32" s="5"/>
      <c r="F32" s="5"/>
      <c r="G32" s="5"/>
      <c r="H32" s="5"/>
      <c r="I32" s="5"/>
      <c r="J32" s="5"/>
      <c r="K32" s="5"/>
      <c r="L32" s="5"/>
      <c r="M32" s="5"/>
      <c r="N32" s="5"/>
      <c r="O32" s="5"/>
      <c r="P32" s="5"/>
      <c r="Q32" s="5"/>
      <c r="R32" s="5"/>
      <c r="S32" s="5"/>
      <c r="T32" s="5"/>
      <c r="U32" s="5"/>
    </row>
    <row r="33" spans="1:21" ht="15.6" x14ac:dyDescent="0.3">
      <c r="A33" s="5"/>
      <c r="B33" s="5"/>
      <c r="C33" s="5"/>
      <c r="D33" s="9" t="s">
        <v>9</v>
      </c>
      <c r="E33" s="8"/>
      <c r="F33" s="8"/>
      <c r="G33" s="8"/>
      <c r="H33" s="8"/>
      <c r="I33" s="8"/>
      <c r="J33" s="8"/>
      <c r="K33" s="8"/>
      <c r="L33" s="8"/>
      <c r="M33" s="8"/>
      <c r="N33" s="8"/>
      <c r="O33" s="8"/>
      <c r="P33" s="5"/>
      <c r="Q33" s="5"/>
      <c r="R33" s="5"/>
      <c r="S33" s="5"/>
      <c r="T33" s="5"/>
      <c r="U33" s="5"/>
    </row>
    <row r="34" spans="1:21" x14ac:dyDescent="0.3">
      <c r="A34" s="5"/>
      <c r="B34" s="5"/>
      <c r="C34" s="5"/>
      <c r="D34" s="5"/>
      <c r="E34" s="5"/>
      <c r="F34" s="5"/>
      <c r="G34" s="5"/>
      <c r="H34" s="5"/>
      <c r="I34" s="5"/>
      <c r="J34" s="5"/>
      <c r="K34" s="5"/>
      <c r="L34" s="5"/>
      <c r="M34" s="5"/>
      <c r="N34" s="5"/>
      <c r="O34" s="5"/>
      <c r="P34" s="5"/>
      <c r="Q34" s="5"/>
      <c r="R34" s="5"/>
      <c r="S34" s="5"/>
      <c r="T34" s="5"/>
      <c r="U34" s="5"/>
    </row>
    <row r="35" spans="1:21" x14ac:dyDescent="0.3">
      <c r="A35" s="5"/>
      <c r="B35" s="5"/>
      <c r="C35" s="5"/>
      <c r="D35" s="5"/>
      <c r="E35" s="5"/>
      <c r="F35" s="5"/>
      <c r="G35" s="5"/>
      <c r="H35" s="5"/>
      <c r="I35" s="5"/>
      <c r="J35" s="5"/>
      <c r="K35" s="5"/>
      <c r="L35" s="5"/>
      <c r="M35" s="5"/>
      <c r="N35" s="5"/>
      <c r="O35" s="5"/>
      <c r="P35" s="5"/>
      <c r="Q35" s="5"/>
      <c r="R35" s="5"/>
      <c r="S35" s="5"/>
      <c r="T35" s="5"/>
      <c r="U35" s="5"/>
    </row>
    <row r="36" spans="1:21" x14ac:dyDescent="0.3">
      <c r="A36" s="5"/>
      <c r="B36" s="5"/>
      <c r="C36" s="5"/>
      <c r="D36" s="5"/>
      <c r="E36" s="5"/>
      <c r="F36" s="5"/>
      <c r="G36" s="5"/>
      <c r="H36" s="5"/>
      <c r="I36" s="5"/>
      <c r="J36" s="5"/>
      <c r="K36" s="5"/>
      <c r="L36" s="5"/>
      <c r="M36" s="5"/>
      <c r="N36" s="5"/>
      <c r="O36" s="5"/>
      <c r="P36" s="5"/>
      <c r="Q36" s="5"/>
      <c r="R36" s="5"/>
      <c r="S36" s="5"/>
      <c r="T36" s="5"/>
      <c r="U36" s="5"/>
    </row>
    <row r="37" spans="1:21" x14ac:dyDescent="0.3">
      <c r="A37" s="5"/>
      <c r="B37" s="5"/>
      <c r="C37" s="5"/>
      <c r="D37" s="5"/>
      <c r="E37" s="5"/>
      <c r="F37" s="5"/>
      <c r="G37" s="5"/>
      <c r="H37" s="5"/>
      <c r="I37" s="5"/>
      <c r="J37" s="5"/>
      <c r="K37" s="5"/>
      <c r="L37" s="5"/>
      <c r="M37" s="5"/>
      <c r="N37" s="5"/>
      <c r="O37" s="5"/>
      <c r="P37" s="5"/>
      <c r="Q37" s="5"/>
      <c r="R37" s="5"/>
      <c r="S37" s="5"/>
      <c r="T37" s="5"/>
      <c r="U37" s="5"/>
    </row>
    <row r="38" spans="1:21" x14ac:dyDescent="0.3">
      <c r="A38" s="5"/>
      <c r="B38" s="5"/>
      <c r="C38" s="5"/>
      <c r="D38" s="5"/>
      <c r="E38" s="5"/>
      <c r="F38" s="5"/>
      <c r="G38" s="5"/>
      <c r="H38" s="5"/>
      <c r="I38" s="5"/>
      <c r="J38" s="5"/>
      <c r="K38" s="5"/>
      <c r="L38" s="5"/>
      <c r="M38" s="5"/>
      <c r="N38" s="5"/>
      <c r="O38" s="5"/>
      <c r="P38" s="5"/>
      <c r="Q38" s="5"/>
      <c r="R38" s="5"/>
      <c r="S38" s="5"/>
      <c r="T38" s="5"/>
      <c r="U3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2C4AD-00DC-4932-97D9-1C5C1F4C3CF1}">
  <dimension ref="A1:W30"/>
  <sheetViews>
    <sheetView topLeftCell="A7" workbookViewId="0">
      <selection activeCell="S20" sqref="S20"/>
    </sheetView>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t="s">
        <v>11</v>
      </c>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row>
    <row r="30" spans="1:23" x14ac:dyDescent="0.3">
      <c r="A30" s="5"/>
      <c r="B30" s="5"/>
      <c r="C30" s="5"/>
      <c r="D30" s="5"/>
      <c r="E30" s="5"/>
      <c r="F30" s="5"/>
      <c r="G30" s="5"/>
      <c r="H30" s="5"/>
      <c r="I30" s="5"/>
      <c r="J30" s="5"/>
      <c r="K30" s="5"/>
      <c r="L30" s="5"/>
      <c r="M30" s="5"/>
      <c r="N30" s="5"/>
      <c r="O30" s="5"/>
      <c r="P30" s="5"/>
      <c r="Q30" s="5"/>
      <c r="R30" s="5"/>
      <c r="S30"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9A0E88A-D162-469F-856C-47E5841ABC56}">
  <ds:schemaRefs/>
</ds:datastoreItem>
</file>

<file path=customXml/itemProps2.xml><?xml version="1.0" encoding="utf-8"?>
<ds:datastoreItem xmlns:ds="http://schemas.openxmlformats.org/officeDocument/2006/customXml" ds:itemID="{11B666C6-6F43-4D39-8290-6ECA3D335425}">
  <ds:schemaRefs/>
</ds:datastoreItem>
</file>

<file path=customXml/itemProps3.xml><?xml version="1.0" encoding="utf-8"?>
<ds:datastoreItem xmlns:ds="http://schemas.openxmlformats.org/officeDocument/2006/customXml" ds:itemID="{6CF779F5-D6FC-404B-9FC4-5362232E859C}">
  <ds:schemaRefs/>
</ds:datastoreItem>
</file>

<file path=customXml/itemProps4.xml><?xml version="1.0" encoding="utf-8"?>
<ds:datastoreItem xmlns:ds="http://schemas.openxmlformats.org/officeDocument/2006/customXml" ds:itemID="{BBFACC97-38D1-413E-95FF-614A350C9970}">
  <ds:schemaRefs/>
</ds:datastoreItem>
</file>

<file path=customXml/itemProps5.xml><?xml version="1.0" encoding="utf-8"?>
<ds:datastoreItem xmlns:ds="http://schemas.openxmlformats.org/officeDocument/2006/customXml" ds:itemID="{D5F207F0-53E5-4420-8CB1-3A45F1563F31}">
  <ds:schemaRefs/>
</ds:datastoreItem>
</file>

<file path=customXml/itemProps6.xml><?xml version="1.0" encoding="utf-8"?>
<ds:datastoreItem xmlns:ds="http://schemas.openxmlformats.org/officeDocument/2006/customXml" ds:itemID="{2B720714-7D6E-4BE6-8A7E-E5ABFA6C7405}">
  <ds:schemaRefs/>
</ds:datastoreItem>
</file>

<file path=customXml/itemProps7.xml><?xml version="1.0" encoding="utf-8"?>
<ds:datastoreItem xmlns:ds="http://schemas.openxmlformats.org/officeDocument/2006/customXml" ds:itemID="{8D6312DD-4495-4999-9850-E82674092EC5}">
  <ds:schemaRefs/>
</ds:datastoreItem>
</file>

<file path=customXml/itemProps8.xml><?xml version="1.0" encoding="utf-8"?>
<ds:datastoreItem xmlns:ds="http://schemas.openxmlformats.org/officeDocument/2006/customXml" ds:itemID="{8B6F9AB6-E51D-46E8-B24D-C42E763C1FA3}">
  <ds:schemaRefs/>
</ds:datastoreItem>
</file>

<file path=customXml/itemProps9.xml><?xml version="1.0" encoding="utf-8"?>
<ds:datastoreItem xmlns:ds="http://schemas.openxmlformats.org/officeDocument/2006/customXml" ds:itemID="{EE66B47D-8DEB-477D-87D2-72AB68D1B3AE}">
  <ds:schemaRefs/>
</ds:datastoreItem>
</file>

<file path=customXml/itemProps10.xml><?xml version="1.0" encoding="utf-8"?>
<ds:datastoreItem xmlns:ds="http://schemas.openxmlformats.org/officeDocument/2006/customXml" ds:itemID="{0EECF55B-A2A7-480E-8F45-E1B71E9CC545}">
  <ds:schemaRefs/>
</ds:datastoreItem>
</file>

<file path=customXml/itemProps11.xml><?xml version="1.0" encoding="utf-8"?>
<ds:datastoreItem xmlns:ds="http://schemas.openxmlformats.org/officeDocument/2006/customXml" ds:itemID="{95EF18B9-277E-4D58-BC20-C4498DCF0AB4}">
  <ds:schemaRefs/>
</ds:datastoreItem>
</file>

<file path=customXml/itemProps12.xml><?xml version="1.0" encoding="utf-8"?>
<ds:datastoreItem xmlns:ds="http://schemas.openxmlformats.org/officeDocument/2006/customXml" ds:itemID="{70566BB1-5EA4-454A-9B3E-DA669FFD7CD3}">
  <ds:schemaRefs/>
</ds:datastoreItem>
</file>

<file path=customXml/itemProps13.xml><?xml version="1.0" encoding="utf-8"?>
<ds:datastoreItem xmlns:ds="http://schemas.openxmlformats.org/officeDocument/2006/customXml" ds:itemID="{BA092759-7C76-4804-995F-C3DEA6624566}">
  <ds:schemaRefs/>
</ds:datastoreItem>
</file>

<file path=customXml/itemProps14.xml><?xml version="1.0" encoding="utf-8"?>
<ds:datastoreItem xmlns:ds="http://schemas.openxmlformats.org/officeDocument/2006/customXml" ds:itemID="{69D25F5C-7B3E-44B0-91DF-393670E2AD33}">
  <ds:schemaRefs/>
</ds:datastoreItem>
</file>

<file path=customXml/itemProps15.xml><?xml version="1.0" encoding="utf-8"?>
<ds:datastoreItem xmlns:ds="http://schemas.openxmlformats.org/officeDocument/2006/customXml" ds:itemID="{A64F1825-7417-4110-88CB-4902D0A79EFE}">
  <ds:schemaRefs/>
</ds:datastoreItem>
</file>

<file path=customXml/itemProps16.xml><?xml version="1.0" encoding="utf-8"?>
<ds:datastoreItem xmlns:ds="http://schemas.openxmlformats.org/officeDocument/2006/customXml" ds:itemID="{C92A7E1C-13A4-496A-B862-B8E46481AA8C}">
  <ds:schemaRefs/>
</ds:datastoreItem>
</file>

<file path=customXml/itemProps17.xml><?xml version="1.0" encoding="utf-8"?>
<ds:datastoreItem xmlns:ds="http://schemas.openxmlformats.org/officeDocument/2006/customXml" ds:itemID="{0E4D5954-0EA0-4B33-91E3-09E746C18782}">
  <ds:schemaRefs/>
</ds:datastoreItem>
</file>

<file path=customXml/itemProps18.xml><?xml version="1.0" encoding="utf-8"?>
<ds:datastoreItem xmlns:ds="http://schemas.openxmlformats.org/officeDocument/2006/customXml" ds:itemID="{21ABFE32-C480-4698-942A-190CF06CDB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Gupta</dc:creator>
  <cp:lastModifiedBy>Mansi Gupta</cp:lastModifiedBy>
  <dcterms:created xsi:type="dcterms:W3CDTF">2026-01-25T20:17:50Z</dcterms:created>
  <dcterms:modified xsi:type="dcterms:W3CDTF">2026-01-26T15:28:52Z</dcterms:modified>
</cp:coreProperties>
</file>